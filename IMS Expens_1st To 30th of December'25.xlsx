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ork Bin\Office &amp; Daily Expenditure\IMS &amp; Project Expenses 2025\IMS Monthly Expenses 2025\"/>
    </mc:Choice>
  </mc:AlternateContent>
  <xr:revisionPtr revIDLastSave="0" documentId="13_ncr:1_{23A287FF-BD7A-4663-B266-4E8061D485BA}" xr6:coauthVersionLast="47" xr6:coauthVersionMax="47" xr10:uidLastSave="{00000000-0000-0000-0000-000000000000}"/>
  <bookViews>
    <workbookView xWindow="-108" yWindow="-108" windowWidth="16608" windowHeight="8832" tabRatio="952" activeTab="1" xr2:uid="{00000000-000D-0000-FFFF-FFFF00000000}"/>
  </bookViews>
  <sheets>
    <sheet name="IMS Top final" sheetId="16" r:id="rId1"/>
    <sheet name="IMS Total Expenses" sheetId="22" r:id="rId2"/>
    <sheet name="Final Total" sheetId="21" r:id="rId3"/>
    <sheet name="IMS Expenses" sheetId="9" r:id="rId4"/>
    <sheet name="Food for Guest " sheetId="3" r:id="rId5"/>
    <sheet name="Office staff food" sheetId="1" r:id="rId6"/>
    <sheet name="Grocery" sheetId="5" r:id="rId7"/>
    <sheet name="Stationary" sheetId="6" r:id="rId8"/>
    <sheet name="Office Others" sheetId="7" r:id="rId9"/>
    <sheet name="Office Laptop " sheetId="13" r:id="rId10"/>
    <sheet name="Conveyance" sheetId="4" r:id="rId11"/>
    <sheet name="Electric purpose" sheetId="14" r:id="rId12"/>
    <sheet name="Household" sheetId="10" r:id="rId13"/>
    <sheet name="Director's Monthly Total Expens" sheetId="15" r:id="rId14"/>
    <sheet name="CLAN" sheetId="17" r:id="rId15"/>
    <sheet name="BATB CE " sheetId="19" r:id="rId16"/>
    <sheet name="BATB PFP" sheetId="27" r:id="rId17"/>
    <sheet name="BHN" sheetId="18" r:id="rId18"/>
    <sheet name="Nagad" sheetId="20" r:id="rId19"/>
    <sheet name="BPO 1" sheetId="25" r:id="rId20"/>
    <sheet name="BPO Final" sheetId="24" r:id="rId21"/>
    <sheet name="Forecast Films" sheetId="26" r:id="rId22"/>
  </sheets>
  <externalReferences>
    <externalReference r:id="rId23"/>
    <externalReference r:id="rId24"/>
    <externalReference r:id="rId25"/>
  </externalReferences>
  <definedNames>
    <definedName name="_xlnm._FilterDatabase" localSheetId="10" hidden="1">Conveyance!$A$17:$G$98</definedName>
    <definedName name="_xlnm.Print_Area" localSheetId="15">'BATB CE '!$A$1:$D$11</definedName>
    <definedName name="_xlnm.Print_Area" localSheetId="16">'BATB PFP'!$A$1:$D$12</definedName>
    <definedName name="_xlnm.Print_Area" localSheetId="17">BHN!$A$1:$D$13</definedName>
    <definedName name="_xlnm.Print_Area" localSheetId="19">'BPO 1'!$A$1:$C$17</definedName>
    <definedName name="_xlnm.Print_Area" localSheetId="20">'BPO Final'!$A$1:$C$18</definedName>
    <definedName name="_xlnm.Print_Area" localSheetId="14">CLAN!$A$1:$C$15</definedName>
    <definedName name="_xlnm.Print_Area" localSheetId="10">Conveyance!$A$1:$G$71</definedName>
    <definedName name="_xlnm.Print_Area" localSheetId="13">'Director''s Monthly Total Expens'!$A$1:$D$9</definedName>
    <definedName name="_xlnm.Print_Area" localSheetId="11">'Electric purpose'!$A$1:$C$8</definedName>
    <definedName name="_xlnm.Print_Area" localSheetId="2">'Final Total'!$A$1:$C$18</definedName>
    <definedName name="_xlnm.Print_Area" localSheetId="4">'Food for Guest '!$A$1:$C$31</definedName>
    <definedName name="_xlnm.Print_Area" localSheetId="6">Grocery!$A$1:$C$30</definedName>
    <definedName name="_xlnm.Print_Area" localSheetId="12">Household!$A$1:$C$12</definedName>
    <definedName name="_xlnm.Print_Area" localSheetId="3">'IMS Expenses'!$A$2:$C$17</definedName>
    <definedName name="_xlnm.Print_Area" localSheetId="0">'IMS Top final'!$A$1:$E$14</definedName>
    <definedName name="_xlnm.Print_Area" localSheetId="1">'IMS Total Expenses'!$A$1:$E$14</definedName>
    <definedName name="_xlnm.Print_Area" localSheetId="9">'Office Laptop '!$A$1:$C$11</definedName>
    <definedName name="_xlnm.Print_Area" localSheetId="8">'Office Others'!$A$1:$C$20</definedName>
    <definedName name="_xlnm.Print_Area" localSheetId="5">'Office staff food'!$A$1:$C$13</definedName>
    <definedName name="_xlnm.Print_Area" localSheetId="7">Stationary!$A$1:$C$37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6" l="1"/>
  <c r="D9" i="22"/>
  <c r="D12" i="22"/>
  <c r="D12" i="16"/>
  <c r="E6" i="22"/>
  <c r="C16" i="25"/>
  <c r="C14" i="25"/>
  <c r="C13" i="25"/>
  <c r="C12" i="25"/>
  <c r="C11" i="25"/>
  <c r="C10" i="25"/>
  <c r="C9" i="25"/>
  <c r="C8" i="25"/>
  <c r="C17" i="24"/>
  <c r="C16" i="24"/>
  <c r="C14" i="24"/>
  <c r="C13" i="24"/>
  <c r="C12" i="24"/>
  <c r="C11" i="24"/>
  <c r="C10" i="24"/>
  <c r="C9" i="24"/>
  <c r="C8" i="24"/>
  <c r="C15" i="25" l="1"/>
  <c r="C17" i="25" s="1"/>
  <c r="C15" i="24"/>
  <c r="C18" i="24" s="1"/>
  <c r="B8" i="15" l="1"/>
  <c r="B7" i="15"/>
  <c r="B9" i="15" s="1"/>
  <c r="D11" i="20" l="1"/>
  <c r="D12" i="20" s="1"/>
  <c r="C14" i="17"/>
  <c r="C13" i="17"/>
  <c r="C12" i="17"/>
  <c r="C11" i="17"/>
  <c r="C10" i="17"/>
  <c r="C9" i="17"/>
  <c r="C8" i="17"/>
  <c r="C7" i="17"/>
  <c r="C15" i="17" s="1"/>
  <c r="D12" i="27"/>
  <c r="D11" i="19"/>
  <c r="D11" i="18"/>
  <c r="D13" i="18" s="1"/>
  <c r="G70" i="4" l="1"/>
  <c r="D11" i="22"/>
  <c r="D10" i="22"/>
  <c r="D8" i="22"/>
  <c r="D11" i="16"/>
  <c r="D10" i="16"/>
  <c r="D8" i="16"/>
  <c r="E8" i="16" l="1"/>
  <c r="E8" i="22"/>
  <c r="E13" i="22"/>
  <c r="E5" i="22" l="1"/>
  <c r="C12" i="10" l="1"/>
  <c r="E13" i="16" l="1"/>
  <c r="C13" i="1"/>
  <c r="C8" i="9" l="1"/>
  <c r="C9" i="21"/>
  <c r="D9" i="26" l="1"/>
  <c r="C20" i="7" l="1"/>
  <c r="G71" i="4" l="1"/>
  <c r="C16" i="21" s="1"/>
  <c r="C15" i="9"/>
  <c r="C37" i="6"/>
  <c r="C14" i="6"/>
  <c r="C8" i="14" l="1"/>
  <c r="E5" i="16" l="1"/>
  <c r="C31" i="3" l="1"/>
  <c r="C23" i="3"/>
  <c r="C11" i="13" l="1"/>
  <c r="C15" i="21" l="1"/>
  <c r="C13" i="21"/>
  <c r="C11" i="9" l="1"/>
  <c r="C12" i="21"/>
  <c r="C14" i="21" l="1"/>
  <c r="C14" i="9" l="1"/>
  <c r="C13" i="9" l="1"/>
  <c r="C16" i="9" l="1"/>
  <c r="C17" i="21"/>
  <c r="C9" i="9" l="1"/>
  <c r="C10" i="21"/>
  <c r="C30" i="5"/>
  <c r="C11" i="21" l="1"/>
  <c r="C10" i="9"/>
  <c r="C12" i="9"/>
  <c r="C17" i="9" l="1"/>
  <c r="C18" i="21"/>
  <c r="E6" i="16" l="1"/>
  <c r="E14" i="16" s="1"/>
  <c r="E14" i="22"/>
</calcChain>
</file>

<file path=xl/sharedStrings.xml><?xml version="1.0" encoding="utf-8"?>
<sst xmlns="http://schemas.openxmlformats.org/spreadsheetml/2006/main" count="598" uniqueCount="253">
  <si>
    <t>DATE</t>
  </si>
  <si>
    <t>ITEMS</t>
  </si>
  <si>
    <t>AMOUNT(tk)</t>
  </si>
  <si>
    <t>Date</t>
  </si>
  <si>
    <t>Items</t>
  </si>
  <si>
    <t>Amount (TK)</t>
  </si>
  <si>
    <t>Conveyance</t>
  </si>
  <si>
    <t>Name</t>
  </si>
  <si>
    <t>Place</t>
  </si>
  <si>
    <t>Media</t>
  </si>
  <si>
    <t xml:space="preserve"> DATE</t>
  </si>
  <si>
    <t xml:space="preserve">   </t>
  </si>
  <si>
    <t>SL No</t>
  </si>
  <si>
    <t>Purpose</t>
  </si>
  <si>
    <t>Total</t>
  </si>
  <si>
    <t>Director's Expenditure</t>
  </si>
  <si>
    <t>Shohag</t>
  </si>
  <si>
    <t>Harun Bhai</t>
  </si>
  <si>
    <t>Household</t>
  </si>
  <si>
    <t>Amount</t>
  </si>
  <si>
    <t xml:space="preserve"> </t>
  </si>
  <si>
    <t>Rickshaw</t>
  </si>
  <si>
    <t>From Whom</t>
  </si>
  <si>
    <t>Lazer book for Godown purpose</t>
  </si>
  <si>
    <t>Groceries Expenditure for the September'18</t>
  </si>
  <si>
    <t>Aoutomatic Air freshner with refill for Head office</t>
  </si>
  <si>
    <t>A4 Paper 15 Rims</t>
  </si>
  <si>
    <t xml:space="preserve">Tessue box,Danish,Hand wash,Wheel powder,Rok,Harpic,Napkin, </t>
  </si>
  <si>
    <t>P</t>
  </si>
  <si>
    <t>Others Expeses</t>
  </si>
  <si>
    <t>Project</t>
  </si>
  <si>
    <t>Office Assistant</t>
  </si>
  <si>
    <t>Mojnu</t>
  </si>
  <si>
    <t>Total Expenses</t>
  </si>
  <si>
    <t>a</t>
  </si>
  <si>
    <t xml:space="preserve">Food For Guest </t>
  </si>
  <si>
    <t>CLAN</t>
  </si>
  <si>
    <t>p</t>
  </si>
  <si>
    <t>Electric Purpose</t>
  </si>
  <si>
    <t>Laptop Purpose</t>
  </si>
  <si>
    <t>Nagad</t>
  </si>
  <si>
    <t>IMS</t>
  </si>
  <si>
    <t>Project Name</t>
  </si>
  <si>
    <t>Office Staff Lunch, Dinner</t>
  </si>
  <si>
    <t xml:space="preserve">Grocery </t>
  </si>
  <si>
    <t xml:space="preserve">Stationary </t>
  </si>
  <si>
    <t>Grocery</t>
  </si>
  <si>
    <t>Stationary</t>
  </si>
  <si>
    <t>BAT CE</t>
  </si>
  <si>
    <t>Others BPO</t>
  </si>
  <si>
    <t>Business Process Outsourcing</t>
  </si>
  <si>
    <t>Rickshaw, Bike</t>
  </si>
  <si>
    <t>Laptop and Desktop Purpose</t>
  </si>
  <si>
    <t>Designation</t>
  </si>
  <si>
    <t>Shathi</t>
  </si>
  <si>
    <t>Office to Nagad to IMS</t>
  </si>
  <si>
    <t>Momin</t>
  </si>
  <si>
    <t xml:space="preserve"> Rickshaw</t>
  </si>
  <si>
    <t>Office to SIBL to DHL to IMS</t>
  </si>
  <si>
    <t>Office to DBBL to SJIBL to Office</t>
  </si>
  <si>
    <t>Rickshaw, Uber</t>
  </si>
  <si>
    <t>l</t>
  </si>
  <si>
    <t>Office to VAT Office to Mohakhali to IMS</t>
  </si>
  <si>
    <t>50% of Total Amount for BPO</t>
  </si>
  <si>
    <t>Forecast</t>
  </si>
  <si>
    <t xml:space="preserve">.  </t>
  </si>
  <si>
    <t>For Whom</t>
  </si>
  <si>
    <t>Total TK</t>
  </si>
  <si>
    <t>Bike</t>
  </si>
  <si>
    <t xml:space="preserve">Rickshaw, </t>
  </si>
  <si>
    <t>Lipon</t>
  </si>
  <si>
    <t>Project Purpose Other Expenses</t>
  </si>
  <si>
    <t>Project Food Purpose</t>
  </si>
  <si>
    <t>Project Laptop Purpose</t>
  </si>
  <si>
    <t>Project Conveyance Purpose</t>
  </si>
  <si>
    <t>Project Guest</t>
  </si>
  <si>
    <t>Project Household</t>
  </si>
  <si>
    <t>Project Electric purpose</t>
  </si>
  <si>
    <t>Project Grocery Purpose</t>
  </si>
  <si>
    <t>Project Stationary purpose</t>
  </si>
  <si>
    <t xml:space="preserve">      </t>
  </si>
  <si>
    <t>Forecast Project All Expenses Of September'24</t>
  </si>
  <si>
    <t>Air freshner, Tessue box</t>
  </si>
  <si>
    <t>IMS to Nagad to IMS</t>
  </si>
  <si>
    <t xml:space="preserve">  Rickshaw</t>
  </si>
  <si>
    <t>Rickshaw, car</t>
  </si>
  <si>
    <t>Rickshaw,  Bus</t>
  </si>
  <si>
    <t>Office to DBH to SJIBL to BAT to Banani bazar to DBBL to IMS</t>
  </si>
  <si>
    <t>BHN</t>
  </si>
  <si>
    <t xml:space="preserve"> BHN</t>
  </si>
  <si>
    <t>Ginger for HO half KG</t>
  </si>
  <si>
    <t>CNG</t>
  </si>
  <si>
    <t xml:space="preserve">  </t>
  </si>
  <si>
    <t>BATB PFP</t>
  </si>
  <si>
    <t>BAT PFP</t>
  </si>
  <si>
    <t>CLAN Others Expenses</t>
  </si>
  <si>
    <t>CLAN Laptop Expenses</t>
  </si>
  <si>
    <t>CLAN Purpose Food Expenses</t>
  </si>
  <si>
    <t>CLAN Purpose Grocery Expenses</t>
  </si>
  <si>
    <t>CLAN Purpose HouseHold  Expenses</t>
  </si>
  <si>
    <t>CLAN Purpose Electric Purpose Expenses</t>
  </si>
  <si>
    <t>CLAN Conveyance</t>
  </si>
  <si>
    <t>CLAN Purpose Stationary Expenses</t>
  </si>
  <si>
    <t>BATB CE</t>
  </si>
  <si>
    <t>Office to Banglalink to SJIBL to IMS</t>
  </si>
  <si>
    <t xml:space="preserve">Project Food </t>
  </si>
  <si>
    <t xml:space="preserve">Project Laptop </t>
  </si>
  <si>
    <t xml:space="preserve">Project Conveyance </t>
  </si>
  <si>
    <t xml:space="preserve">Project Electric </t>
  </si>
  <si>
    <t xml:space="preserve">Project Grocery </t>
  </si>
  <si>
    <t xml:space="preserve">Project Stationary </t>
  </si>
  <si>
    <t xml:space="preserve">     </t>
  </si>
  <si>
    <t>Office to SJIBL to Dhanmondi to Office</t>
  </si>
  <si>
    <t>Office to GP Office to SJIBL to Office</t>
  </si>
  <si>
    <t>Office to Nagad to Office</t>
  </si>
  <si>
    <t>Rickshaw,Car</t>
  </si>
  <si>
    <t>Office to B4D to  Uniliver to Office</t>
  </si>
  <si>
    <t xml:space="preserve">Rickshaw,  </t>
  </si>
  <si>
    <t>Siam</t>
  </si>
  <si>
    <t>Senior Executive</t>
  </si>
  <si>
    <t>Donation for Milon Mela for Hizra</t>
  </si>
  <si>
    <t>Air freshner,Teabag, Sugar,NapkinTessue, ,Hand wash, Vim bar, Toilet Tessue,Milk Powder, Vim Bar, Ginger</t>
  </si>
  <si>
    <t xml:space="preserve"> Office to Niketon to Boss house Banani to IMS</t>
  </si>
  <si>
    <t>Office to DBBL to DHL to IMS</t>
  </si>
  <si>
    <t>Office to SIBL to IMS TO SJIBL to IMS</t>
  </si>
  <si>
    <t>Office to DBBL to IMS</t>
  </si>
  <si>
    <t>Bike, Rikshaw</t>
  </si>
  <si>
    <t xml:space="preserve">Office to Mirpur DOSH to office to SJIBL to Office </t>
  </si>
  <si>
    <t xml:space="preserve"> Rickshaw </t>
  </si>
  <si>
    <t>Office to IPDC to office to SJIBL to Nestle to IMS</t>
  </si>
  <si>
    <t>Office to DBBL to GP  to IMS</t>
  </si>
  <si>
    <t xml:space="preserve">Office to Vat Office  to Smart School to Office </t>
  </si>
  <si>
    <t>Office to BAT to Uniliver to Office</t>
  </si>
  <si>
    <t xml:space="preserve">Office to Vat Office  to Smart School to DBBL to Office </t>
  </si>
  <si>
    <t>Office  to DBBL to Office</t>
  </si>
  <si>
    <t>Office to One Bank to SJIBL to Office</t>
  </si>
  <si>
    <t>Abedin</t>
  </si>
  <si>
    <t>Office to SJIBL to  EBL Gulshan to SJIBL to Office</t>
  </si>
  <si>
    <t>Office to Elephant Road to IDB to Banani Rayan  to Office</t>
  </si>
  <si>
    <t>Studio</t>
  </si>
  <si>
    <t>IT Manager</t>
  </si>
  <si>
    <t>Office to  SJIBL to IMS</t>
  </si>
  <si>
    <t>Office to Nestle to  SJIBL to GP office to DBBL Gulshan to Office</t>
  </si>
  <si>
    <t>Office  to GP office to DBBL Gulshan to Office</t>
  </si>
  <si>
    <t>Office to Start Kabab to Khilkhet to Office</t>
  </si>
  <si>
    <t>Office to SJIBL to Office (4 times)</t>
  </si>
  <si>
    <t>IMS to Coats to IMS</t>
  </si>
  <si>
    <t>Office to DBH-Gul-2 to Mohakhali to DBBL to IMS</t>
  </si>
  <si>
    <t xml:space="preserve">Office to BBL banani to Detol  to SJIBL to Mohakhali to BAT,DOHS to Office </t>
  </si>
  <si>
    <t>Office to SJIBL to Office</t>
  </si>
  <si>
    <t>Rickshaw, Car</t>
  </si>
  <si>
    <t>Office to  SJIBL to IMS(3 times)</t>
  </si>
  <si>
    <t>Office to DBBL Gulshan to  IMS</t>
  </si>
  <si>
    <t>Office to Uniliver to BAT to DBBL to IMS</t>
  </si>
  <si>
    <t xml:space="preserve"> Rikshaw</t>
  </si>
  <si>
    <t>Office to Vat Office to BAT to Office</t>
  </si>
  <si>
    <t>IMS to Rocket  to Gulshan-1 to IMS</t>
  </si>
  <si>
    <t>Assistant Manager</t>
  </si>
  <si>
    <t>Nazmus Sakib</t>
  </si>
  <si>
    <t>IMS to UBL to IMS</t>
  </si>
  <si>
    <t>Uber</t>
  </si>
  <si>
    <t>Office to FICCI Event of Nestle to Office to IMS</t>
  </si>
  <si>
    <t>Office to Banglalink to IMS</t>
  </si>
  <si>
    <t>IMS to Share on banani to VAT office to DBBL to IMS</t>
  </si>
  <si>
    <t>IMS to Share on banani to CBC office to DBBL to IMS</t>
  </si>
  <si>
    <t>Office to SJIBL to office(4 times )</t>
  </si>
  <si>
    <t>Office to Mirpur to Global to IMS</t>
  </si>
  <si>
    <t>Rickshaw,CNG</t>
  </si>
  <si>
    <t>Office to SJIBL to Sami Boss house to IMS</t>
  </si>
  <si>
    <t>Office to Uniliver to SJIBL to BAT to Banani</t>
  </si>
  <si>
    <t>Office to BATB toBATB to  Banani</t>
  </si>
  <si>
    <t>Office to SJIBL(5 times) to FICI to Office</t>
  </si>
  <si>
    <t>Office to VAT to Office</t>
  </si>
  <si>
    <t>Office to DBBL to SJIBL(5 times) to FICI to Office</t>
  </si>
  <si>
    <t>Office to VAT to Uniliver to HSBC to Banani</t>
  </si>
  <si>
    <t>IMS to Banani to IMS</t>
  </si>
  <si>
    <r>
      <t>IMS Conveyance ( 50% of 23450</t>
    </r>
    <r>
      <rPr>
        <b/>
        <sz val="48"/>
        <color theme="1"/>
        <rFont val="Calibri"/>
        <family val="2"/>
        <scheme val="minor"/>
      </rPr>
      <t>/-</t>
    </r>
    <r>
      <rPr>
        <sz val="48"/>
        <color theme="1"/>
        <rFont val="Calibri"/>
        <family val="2"/>
        <scheme val="minor"/>
      </rPr>
      <t xml:space="preserve"> )</t>
    </r>
  </si>
  <si>
    <t>Food for Guest for Artist purpose</t>
  </si>
  <si>
    <t>Food for Guest for IFFAD group</t>
  </si>
  <si>
    <t>A4 Paper 9 pcs</t>
  </si>
  <si>
    <t>Mushok book  for Head office</t>
  </si>
  <si>
    <t>Hard disk and SATA SSD  for Pavel bhai</t>
  </si>
  <si>
    <t>FICE studio networking TP-Link Desktop switch, UPS for new PC for Studio, Patch cable CAT-6 For studio</t>
  </si>
  <si>
    <t>BASUS USB Typr-C Cable for Sami  Boss</t>
  </si>
  <si>
    <t>Total Amount</t>
  </si>
  <si>
    <t>Mahian</t>
  </si>
  <si>
    <t>Executive</t>
  </si>
  <si>
    <t>Conveyance For the Month of December'25</t>
  </si>
  <si>
    <t>Harun</t>
  </si>
  <si>
    <t>G. Manager</t>
  </si>
  <si>
    <t>Tamanna</t>
  </si>
  <si>
    <t>Lunch Purpose for Four Office Staff (Shohag,Lipon,Shathi,Jahangir &amp; Rakibul) for the month of December 2025 (2000*3= 6000, 1500*1=1500 )</t>
  </si>
  <si>
    <t>Lunch Purpose for Four Office Staff Lipon for the month of December 2025</t>
  </si>
  <si>
    <t xml:space="preserve">Birthday Cake </t>
  </si>
  <si>
    <t>Food for Sumon</t>
  </si>
  <si>
    <t>Office staff late night dinner purposeKitkat event purpose</t>
  </si>
  <si>
    <t>Food for Guest for BATB Client</t>
  </si>
  <si>
    <t>Food for Guest for Weeding purpose</t>
  </si>
  <si>
    <t>Food for Guest for Audit Client</t>
  </si>
  <si>
    <t>Food for Guest for Nestle</t>
  </si>
  <si>
    <t>Food For Guest Of December'25</t>
  </si>
  <si>
    <t>Food for Office Staff Of December'25</t>
  </si>
  <si>
    <t>Groceries Expenditure Of December'25</t>
  </si>
  <si>
    <t>Stationary Expenditure Of December'25</t>
  </si>
  <si>
    <t xml:space="preserve"> Other Expenditures Of December'25 (Head Office)</t>
  </si>
  <si>
    <t xml:space="preserve"> Laptop Purpose For the month Of December'25</t>
  </si>
  <si>
    <t xml:space="preserve">        Electric Purpose Of December'25</t>
  </si>
  <si>
    <t>Household For Head Office Of December'25</t>
  </si>
  <si>
    <t>Air freshner</t>
  </si>
  <si>
    <t>Lizol, Rok, Vim powder</t>
  </si>
  <si>
    <t>Harpic, Harpic powder,Toilet Tessue, Vim bar, Vim liquid, Sugar,Arosol, Tessue Box</t>
  </si>
  <si>
    <t>Danish,Sugar</t>
  </si>
  <si>
    <t>Marker pen</t>
  </si>
  <si>
    <t>Stationary Items</t>
  </si>
  <si>
    <t>Compose for Harun Bhai</t>
  </si>
  <si>
    <t>Seal Making</t>
  </si>
  <si>
    <t>A4 paper</t>
  </si>
  <si>
    <t>LED light for HO kitchen</t>
  </si>
  <si>
    <t>Gree AC Remote</t>
  </si>
  <si>
    <t>Mop, Odonil, Majoni, for HO</t>
  </si>
  <si>
    <t>BHN Project Others Expenses Of December'25</t>
  </si>
  <si>
    <t>Ara Water Jar 34 pcs for the month of December 2025</t>
  </si>
  <si>
    <t>BATB CE Project Other Of December'25</t>
  </si>
  <si>
    <t>A4 paper 2pcs  for BAT CE project</t>
  </si>
  <si>
    <t>AC Service charge</t>
  </si>
  <si>
    <t>BATB PFP Project Others Expenses Of December'25</t>
  </si>
  <si>
    <t>ID card for Naima</t>
  </si>
  <si>
    <t>Mobileile recharge &amp; Data purpose for Shohag and Lipon for the month of December 2025</t>
  </si>
  <si>
    <t>SSL for Sakib</t>
  </si>
  <si>
    <t>Jali And Cement for Comon Toilet</t>
  </si>
  <si>
    <t>Risk assurance fee for Credit card bill</t>
  </si>
  <si>
    <t>IP Comunication for Head office for the month of December 2025</t>
  </si>
  <si>
    <t>MS Office 360 for One Year</t>
  </si>
  <si>
    <t>Lock open purpose for Harun Bhai Room</t>
  </si>
  <si>
    <t xml:space="preserve">Tanni Of Accounts Medical Treatment Purpose </t>
  </si>
  <si>
    <t>Courier Purpose</t>
  </si>
  <si>
    <r>
      <t xml:space="preserve">Internet bill for </t>
    </r>
    <r>
      <rPr>
        <b/>
        <sz val="48"/>
        <color theme="1"/>
        <rFont val="Calibri"/>
        <family val="2"/>
        <scheme val="minor"/>
      </rPr>
      <t>Creative Canvas</t>
    </r>
    <r>
      <rPr>
        <sz val="48"/>
        <color theme="1"/>
        <rFont val="Calibri"/>
        <family val="2"/>
        <scheme val="minor"/>
      </rPr>
      <t>,</t>
    </r>
    <r>
      <rPr>
        <b/>
        <sz val="48"/>
        <color theme="1"/>
        <rFont val="Calibri"/>
        <family val="2"/>
        <scheme val="minor"/>
      </rPr>
      <t>Elite Communication and Dtech</t>
    </r>
    <r>
      <rPr>
        <sz val="48"/>
        <color theme="1"/>
        <rFont val="Calibri"/>
        <family val="2"/>
        <scheme val="minor"/>
      </rPr>
      <t xml:space="preserve"> for Tasfir, Sohel &amp; Mahmud for the month of December'25</t>
    </r>
  </si>
  <si>
    <r>
      <rPr>
        <b/>
        <sz val="48"/>
        <color theme="1"/>
        <rFont val="Calibri"/>
        <family val="2"/>
        <scheme val="minor"/>
      </rPr>
      <t xml:space="preserve">Cleaner's service charge </t>
    </r>
    <r>
      <rPr>
        <sz val="48"/>
        <color theme="1"/>
        <rFont val="Calibri"/>
        <family val="2"/>
        <scheme val="minor"/>
      </rPr>
      <t xml:space="preserve"> purpose for the month of December'25 for Head Office</t>
    </r>
  </si>
  <si>
    <r>
      <rPr>
        <b/>
        <sz val="48"/>
        <color theme="1"/>
        <rFont val="Calibri"/>
        <family val="2"/>
        <scheme val="minor"/>
      </rPr>
      <t xml:space="preserve">News Paper bill  service charge </t>
    </r>
    <r>
      <rPr>
        <sz val="48"/>
        <color theme="1"/>
        <rFont val="Calibri"/>
        <family val="2"/>
        <scheme val="minor"/>
      </rPr>
      <t xml:space="preserve"> purpose for the month of December'25 for Head Office</t>
    </r>
  </si>
  <si>
    <t>Administrative Cost of BATB PFP Project pay out call for the month of December 2025</t>
  </si>
  <si>
    <t>CLAN Project Expenditures December'25</t>
  </si>
  <si>
    <t>Nagad Project Others Of December'25</t>
  </si>
  <si>
    <t>A4 paper &amp;  Pen  for Nagad Project</t>
  </si>
  <si>
    <t>ID card for Asif</t>
  </si>
  <si>
    <t>Carnival Internet bill for the month of December 2025</t>
  </si>
  <si>
    <t>Ara Pure drinking water 12 pcs for Nagad the month of Decemberber'25</t>
  </si>
  <si>
    <t>MD and Director's Expenses for the Month of December'25</t>
  </si>
  <si>
    <t>MD Boss  Expenditures for the month of December'25</t>
  </si>
  <si>
    <t>Director Sami  Boss  Expenditures for the month of December'25</t>
  </si>
  <si>
    <t>Project Total Expenditure For the Month of December'25</t>
  </si>
  <si>
    <t>Total (20418/-) IMS 50% Conveyance</t>
  </si>
  <si>
    <t>Topsheet of Total Office Expenditures Of December'25</t>
  </si>
  <si>
    <t>Total Office Expenditures Of December'25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</si>
</sst>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0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3" xfId="0" applyFont="1" applyBorder="1"/>
    <xf numFmtId="0" fontId="7" fillId="0" borderId="2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8" xfId="0" applyFont="1" applyBorder="1"/>
    <xf numFmtId="0" fontId="7" fillId="3" borderId="2" xfId="0" applyFont="1" applyFill="1" applyBorder="1"/>
    <xf numFmtId="164" fontId="6" fillId="0" borderId="8" xfId="0" applyNumberFormat="1" applyFont="1" applyBorder="1"/>
    <xf numFmtId="0" fontId="7" fillId="0" borderId="2" xfId="0" applyFont="1" applyBorder="1"/>
    <xf numFmtId="0" fontId="4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9" fillId="0" borderId="0" xfId="0" applyFont="1"/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wrapText="1"/>
    </xf>
    <xf numFmtId="0" fontId="7" fillId="0" borderId="8" xfId="0" applyFont="1" applyBorder="1" applyAlignment="1">
      <alignment vertical="center"/>
    </xf>
    <xf numFmtId="0" fontId="7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1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11" fillId="0" borderId="8" xfId="0" applyFont="1" applyBorder="1"/>
    <xf numFmtId="0" fontId="4" fillId="0" borderId="1" xfId="0" applyFont="1" applyBorder="1"/>
    <xf numFmtId="0" fontId="11" fillId="0" borderId="12" xfId="0" applyFont="1" applyBorder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2" xfId="0" applyFont="1" applyBorder="1"/>
    <xf numFmtId="0" fontId="13" fillId="2" borderId="11" xfId="0" applyFont="1" applyFill="1" applyBorder="1"/>
    <xf numFmtId="0" fontId="4" fillId="0" borderId="1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right" vertical="center"/>
    </xf>
    <xf numFmtId="0" fontId="8" fillId="0" borderId="2" xfId="0" applyFont="1" applyBorder="1"/>
    <xf numFmtId="0" fontId="11" fillId="0" borderId="10" xfId="0" applyFont="1" applyBorder="1"/>
    <xf numFmtId="0" fontId="6" fillId="0" borderId="8" xfId="0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8" fillId="0" borderId="8" xfId="0" applyFont="1" applyBorder="1" applyAlignment="1">
      <alignment vertical="center"/>
    </xf>
    <xf numFmtId="0" fontId="8" fillId="0" borderId="7" xfId="0" applyFont="1" applyBorder="1"/>
    <xf numFmtId="0" fontId="13" fillId="2" borderId="1" xfId="0" applyFont="1" applyFill="1" applyBorder="1"/>
    <xf numFmtId="0" fontId="8" fillId="0" borderId="8" xfId="0" applyFont="1" applyBorder="1"/>
    <xf numFmtId="164" fontId="7" fillId="0" borderId="8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8" fillId="0" borderId="13" xfId="0" applyFont="1" applyBorder="1" applyAlignment="1">
      <alignment horizontal="center"/>
    </xf>
    <xf numFmtId="0" fontId="11" fillId="0" borderId="2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8" xfId="0" applyFont="1" applyBorder="1" applyAlignment="1">
      <alignment horizontal="left" vertical="center" wrapText="1"/>
    </xf>
    <xf numFmtId="164" fontId="4" fillId="0" borderId="8" xfId="0" applyNumberFormat="1" applyFont="1" applyBorder="1" applyAlignment="1">
      <alignment horizontal="left" vertical="center"/>
    </xf>
    <xf numFmtId="0" fontId="11" fillId="0" borderId="8" xfId="0" applyFont="1" applyBorder="1" applyAlignment="1">
      <alignment vertical="center" wrapText="1"/>
    </xf>
    <xf numFmtId="0" fontId="4" fillId="0" borderId="7" xfId="0" applyFont="1" applyBorder="1" applyAlignment="1">
      <alignment horizontal="right"/>
    </xf>
    <xf numFmtId="0" fontId="13" fillId="2" borderId="1" xfId="0" applyFont="1" applyFill="1" applyBorder="1" applyAlignment="1">
      <alignment horizontal="right"/>
    </xf>
    <xf numFmtId="0" fontId="7" fillId="0" borderId="0" xfId="0" applyFont="1"/>
    <xf numFmtId="0" fontId="7" fillId="0" borderId="8" xfId="0" applyFont="1" applyBorder="1" applyAlignment="1">
      <alignment horizontal="left" vertical="center" wrapText="1"/>
    </xf>
    <xf numFmtId="0" fontId="6" fillId="0" borderId="0" xfId="0" applyFont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>
      <alignment vertical="center" wrapText="1"/>
    </xf>
    <xf numFmtId="0" fontId="13" fillId="2" borderId="1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horizontal="right" vertical="center"/>
    </xf>
    <xf numFmtId="0" fontId="12" fillId="0" borderId="0" xfId="0" applyFont="1"/>
    <xf numFmtId="0" fontId="8" fillId="0" borderId="6" xfId="0" applyFont="1" applyBorder="1" applyAlignment="1">
      <alignment horizontal="right"/>
    </xf>
    <xf numFmtId="0" fontId="13" fillId="0" borderId="0" xfId="0" applyFont="1" applyAlignment="1">
      <alignment horizontal="center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8" fillId="0" borderId="20" xfId="0" applyFont="1" applyBorder="1"/>
    <xf numFmtId="0" fontId="8" fillId="0" borderId="0" xfId="0" applyFont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/>
    </xf>
    <xf numFmtId="0" fontId="3" fillId="0" borderId="1" xfId="0" applyFont="1" applyBorder="1"/>
    <xf numFmtId="0" fontId="1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1" fillId="0" borderId="0" xfId="0" applyFont="1"/>
    <xf numFmtId="0" fontId="4" fillId="0" borderId="1" xfId="0" applyFont="1" applyBorder="1" applyAlignment="1">
      <alignment horizontal="right"/>
    </xf>
    <xf numFmtId="0" fontId="7" fillId="0" borderId="8" xfId="0" applyFont="1" applyBorder="1" applyAlignment="1">
      <alignment horizontal="center"/>
    </xf>
    <xf numFmtId="0" fontId="11" fillId="0" borderId="2" xfId="0" applyFont="1" applyBorder="1" applyAlignment="1">
      <alignment wrapText="1"/>
    </xf>
    <xf numFmtId="0" fontId="8" fillId="0" borderId="7" xfId="0" applyFont="1" applyBorder="1" applyAlignment="1">
      <alignment vertical="center"/>
    </xf>
    <xf numFmtId="0" fontId="8" fillId="0" borderId="23" xfId="0" applyFont="1" applyBorder="1" applyAlignment="1">
      <alignment horizontal="center"/>
    </xf>
    <xf numFmtId="0" fontId="7" fillId="0" borderId="6" xfId="0" applyFont="1" applyBorder="1"/>
    <xf numFmtId="0" fontId="8" fillId="0" borderId="20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8" fillId="0" borderId="11" xfId="0" applyFont="1" applyBorder="1"/>
    <xf numFmtId="0" fontId="13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7" fillId="0" borderId="8" xfId="0" applyFont="1" applyBorder="1" applyAlignment="1">
      <alignment vertical="center" wrapText="1"/>
    </xf>
    <xf numFmtId="0" fontId="4" fillId="0" borderId="22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8" fillId="0" borderId="25" xfId="0" applyFont="1" applyBorder="1"/>
    <xf numFmtId="0" fontId="14" fillId="0" borderId="0" xfId="0" applyFont="1"/>
    <xf numFmtId="0" fontId="7" fillId="0" borderId="6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0" borderId="0" xfId="0" applyFont="1"/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right" vertical="center" wrapText="1"/>
    </xf>
    <xf numFmtId="0" fontId="8" fillId="0" borderId="12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0" xfId="0" applyFont="1"/>
    <xf numFmtId="0" fontId="13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right"/>
    </xf>
    <xf numFmtId="0" fontId="8" fillId="0" borderId="0" xfId="0" applyFont="1" applyAlignment="1">
      <alignment horizontal="center" wrapText="1"/>
    </xf>
    <xf numFmtId="164" fontId="4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right"/>
    </xf>
    <xf numFmtId="0" fontId="8" fillId="0" borderId="8" xfId="0" applyFont="1" applyBorder="1" applyAlignment="1">
      <alignment wrapText="1"/>
    </xf>
    <xf numFmtId="0" fontId="11" fillId="0" borderId="2" xfId="0" applyFont="1" applyBorder="1" applyAlignment="1">
      <alignment vertical="center" wrapText="1"/>
    </xf>
    <xf numFmtId="0" fontId="11" fillId="0" borderId="8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right" vertical="center"/>
    </xf>
    <xf numFmtId="0" fontId="17" fillId="0" borderId="0" xfId="0" applyFont="1"/>
    <xf numFmtId="0" fontId="18" fillId="0" borderId="0" xfId="0" applyFont="1" applyAlignment="1">
      <alignment horizontal="center"/>
    </xf>
    <xf numFmtId="0" fontId="4" fillId="0" borderId="26" xfId="0" applyFont="1" applyBorder="1" applyAlignment="1">
      <alignment horizontal="right"/>
    </xf>
    <xf numFmtId="0" fontId="4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right" vertical="center"/>
    </xf>
    <xf numFmtId="164" fontId="11" fillId="0" borderId="8" xfId="0" applyNumberFormat="1" applyFont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right" vertical="center" wrapText="1"/>
    </xf>
    <xf numFmtId="0" fontId="19" fillId="0" borderId="0" xfId="0" applyFont="1"/>
    <xf numFmtId="0" fontId="3" fillId="0" borderId="22" xfId="0" applyFont="1" applyBorder="1"/>
    <xf numFmtId="0" fontId="7" fillId="0" borderId="10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right" vertical="center"/>
    </xf>
    <xf numFmtId="0" fontId="8" fillId="0" borderId="2" xfId="0" quotePrefix="1" applyFont="1" applyBorder="1"/>
    <xf numFmtId="3" fontId="8" fillId="3" borderId="2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left"/>
    </xf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2" xfId="0" applyFont="1" applyBorder="1"/>
    <xf numFmtId="0" fontId="8" fillId="0" borderId="4" xfId="0" applyFont="1" applyBorder="1" applyAlignment="1">
      <alignment horizontal="center"/>
    </xf>
    <xf numFmtId="0" fontId="8" fillId="0" borderId="31" xfId="0" applyFont="1" applyBorder="1" applyAlignment="1">
      <alignment horizontal="right"/>
    </xf>
    <xf numFmtId="164" fontId="7" fillId="0" borderId="2" xfId="0" applyNumberFormat="1" applyFont="1" applyBorder="1" applyAlignment="1">
      <alignment horizontal="left" vertical="center"/>
    </xf>
    <xf numFmtId="0" fontId="4" fillId="0" borderId="0" xfId="0" applyFont="1" applyAlignment="1">
      <alignment horizontal="right"/>
    </xf>
    <xf numFmtId="0" fontId="4" fillId="0" borderId="14" xfId="0" applyFont="1" applyBorder="1" applyAlignment="1">
      <alignment horizontal="right"/>
    </xf>
    <xf numFmtId="0" fontId="8" fillId="0" borderId="23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6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14" xfId="0" applyFont="1" applyBorder="1" applyAlignment="1">
      <alignment horizontal="right" vertic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irector's%20Expediture%202025/Director's%20December'25.xlsx" TargetMode="External"/><Relationship Id="rId2" Type="http://schemas.openxmlformats.org/officeDocument/2006/relationships/externalLinkPath" Target="file:///F:\Work%20Bin\Office%20&amp;%20Daily%20Expenditure\IMS%20&amp;%20Project%20Expenses%202025\Director's%20Expediture%202025\Director's%20December'25.xlsx" TargetMode="External"/><Relationship Id="rId1" Type="http://schemas.openxmlformats.org/officeDocument/2006/relationships/externalLinkPath" Target="/Work%20Bin/Office%20&amp;%20Daily%20Expenditure/IMS%20&amp;%20Project%20Expenses%202025/Director's%20Expediture%202025/Director's%20December'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CLAN%20Expenses%202025/CLAN%20%20Expeses%20of%20December'25.xlsx" TargetMode="External"/><Relationship Id="rId2" Type="http://schemas.openxmlformats.org/officeDocument/2006/relationships/externalLinkPath" Target="file:///F:\Work%20Bin\Office%20&amp;%20Daily%20Expenditure\IMS%20&amp;%20Project%20Expenses%202025\CLAN%20Expenses%202025\CLAN%20%20Expeses%20of%20December'25.xlsx" TargetMode="External"/><Relationship Id="rId1" Type="http://schemas.openxmlformats.org/officeDocument/2006/relationships/externalLinkPath" Target="/Work%20Bin/Office%20&amp;%20Daily%20Expenditure/IMS%20&amp;%20Project%20Expenses%202025/CLAN%20Expenses%202025/CLAN%20%20Expeses%20of%20December'25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BPO%20Monthly%20Expenses'25/Outsourcing%20Project%20Purpose'25/BPO%20Expenses%20Of%20December'25.xlsx" TargetMode="External"/><Relationship Id="rId2" Type="http://schemas.openxmlformats.org/officeDocument/2006/relationships/externalLinkPath" Target="file:///F:\Work%20Bin\Office%20&amp;%20Daily%20Expenditure\IMS%20&amp;%20Project%20Expenses%202025\BPO%20Monthly%20Expenses'25\Outsourcing%20Project%20Purpose'25\BPO%20Expenses%20Of%20December'25.xlsx" TargetMode="External"/><Relationship Id="rId1" Type="http://schemas.openxmlformats.org/officeDocument/2006/relationships/externalLinkPath" Target="/Work%20Bin/Office%20&amp;%20Daily%20Expenditure/IMS%20&amp;%20Project%20Expenses%202025/BPO%20Monthly%20Expenses'25/Outsourcing%20Project%20Purpose'25/BPO%20Expenses%20Of%20December'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p sheet DEC'25"/>
      <sheetName val="MD's Expenses of Dec'25"/>
      <sheetName val="Director's Expenses Dec'25"/>
    </sheetNames>
    <sheetDataSet>
      <sheetData sheetId="0" refreshError="1"/>
      <sheetData sheetId="1">
        <row r="18">
          <cell r="D18">
            <v>9801</v>
          </cell>
        </row>
      </sheetData>
      <sheetData sheetId="2">
        <row r="12">
          <cell r="D12">
            <v>6960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psheet OF CLAN Project"/>
      <sheetName val="Food Expenses"/>
      <sheetName val="Grocery"/>
      <sheetName val=" Others Expenses"/>
      <sheetName val="Stationary"/>
      <sheetName val="House Hold"/>
      <sheetName val="Laptop Expenses"/>
      <sheetName val="Electric Purpose"/>
      <sheetName val="Conveyance"/>
    </sheetNames>
    <sheetDataSet>
      <sheetData sheetId="0" refreshError="1"/>
      <sheetData sheetId="1">
        <row r="13">
          <cell r="D13">
            <v>5775</v>
          </cell>
        </row>
      </sheetData>
      <sheetData sheetId="2">
        <row r="35">
          <cell r="C35">
            <v>3812</v>
          </cell>
        </row>
      </sheetData>
      <sheetData sheetId="3">
        <row r="12">
          <cell r="D12">
            <v>7603</v>
          </cell>
        </row>
      </sheetData>
      <sheetData sheetId="4">
        <row r="24">
          <cell r="C24">
            <v>390</v>
          </cell>
        </row>
      </sheetData>
      <sheetData sheetId="5">
        <row r="9">
          <cell r="C9">
            <v>0</v>
          </cell>
        </row>
      </sheetData>
      <sheetData sheetId="6">
        <row r="11">
          <cell r="D11">
            <v>0</v>
          </cell>
        </row>
      </sheetData>
      <sheetData sheetId="7">
        <row r="9">
          <cell r="C9">
            <v>0</v>
          </cell>
        </row>
      </sheetData>
      <sheetData sheetId="8">
        <row r="14">
          <cell r="G1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PO Final Total"/>
      <sheetName val="Total BPO Expenditures"/>
      <sheetName val="Project Purpose Food"/>
      <sheetName val="Project Others"/>
      <sheetName val="Project Purpose Laptop"/>
      <sheetName val="Project Conveyance"/>
      <sheetName val="Project Guest"/>
      <sheetName val="Project Electric"/>
      <sheetName val="Project Grocery"/>
      <sheetName val="Project Stationary"/>
      <sheetName val="Convayance IMS"/>
      <sheetName val="Project House Hold"/>
    </sheetNames>
    <sheetDataSet>
      <sheetData sheetId="0"/>
      <sheetData sheetId="1"/>
      <sheetData sheetId="2">
        <row r="8">
          <cell r="E8">
            <v>2500</v>
          </cell>
        </row>
      </sheetData>
      <sheetData sheetId="3">
        <row r="13">
          <cell r="E13">
            <v>15580</v>
          </cell>
        </row>
      </sheetData>
      <sheetData sheetId="4">
        <row r="9">
          <cell r="E9">
            <v>6200</v>
          </cell>
        </row>
      </sheetData>
      <sheetData sheetId="5">
        <row r="16">
          <cell r="G16">
            <v>5679</v>
          </cell>
        </row>
      </sheetData>
      <sheetData sheetId="6">
        <row r="11">
          <cell r="D11">
            <v>2165</v>
          </cell>
        </row>
      </sheetData>
      <sheetData sheetId="7">
        <row r="11">
          <cell r="D11">
            <v>670</v>
          </cell>
        </row>
      </sheetData>
      <sheetData sheetId="8">
        <row r="15">
          <cell r="C15">
            <v>2752</v>
          </cell>
        </row>
      </sheetData>
      <sheetData sheetId="9">
        <row r="12">
          <cell r="C12">
            <v>6280</v>
          </cell>
        </row>
      </sheetData>
      <sheetData sheetId="10">
        <row r="71">
          <cell r="G71">
            <v>10209</v>
          </cell>
        </row>
      </sheetData>
      <sheetData sheetId="11">
        <row r="12">
          <cell r="D1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view="pageBreakPreview" topLeftCell="A3" zoomScale="24" zoomScaleNormal="55" zoomScaleSheetLayoutView="24" workbookViewId="0">
      <selection activeCell="D10" sqref="D10"/>
    </sheetView>
  </sheetViews>
  <sheetFormatPr defaultColWidth="9.109375" defaultRowHeight="28.8" x14ac:dyDescent="0.55000000000000004"/>
  <cols>
    <col min="1" max="1" width="27" style="70" bestFit="1" customWidth="1"/>
    <col min="2" max="2" width="50.88671875" style="70" bestFit="1" customWidth="1"/>
    <col min="3" max="3" width="60.88671875" style="70" customWidth="1"/>
    <col min="4" max="4" width="56.21875" style="70" customWidth="1"/>
    <col min="5" max="5" width="53.77734375" style="70" customWidth="1"/>
    <col min="6" max="6" width="9.109375" style="70"/>
    <col min="7" max="7" width="14.5546875" style="70" bestFit="1" customWidth="1"/>
    <col min="8" max="8" width="9.109375" style="70"/>
    <col min="9" max="9" width="12.21875" style="70" bestFit="1" customWidth="1"/>
    <col min="10" max="16384" width="9.109375" style="70"/>
  </cols>
  <sheetData>
    <row r="1" spans="1:9" ht="231.75" customHeight="1" x14ac:dyDescent="0.85">
      <c r="A1" s="161" t="s">
        <v>251</v>
      </c>
      <c r="B1" s="161"/>
      <c r="C1" s="161"/>
      <c r="D1" s="161"/>
      <c r="E1" s="161"/>
      <c r="F1" s="94"/>
      <c r="G1" s="94" t="s">
        <v>20</v>
      </c>
      <c r="H1" s="60"/>
      <c r="I1" s="60"/>
    </row>
    <row r="2" spans="1:9" ht="177" customHeight="1" x14ac:dyDescent="0.85">
      <c r="A2" s="76"/>
      <c r="B2" s="89"/>
      <c r="C2" s="89"/>
      <c r="D2" s="89"/>
      <c r="E2" s="89"/>
      <c r="F2" s="89"/>
      <c r="G2" s="89"/>
      <c r="H2" s="60"/>
      <c r="I2" s="60"/>
    </row>
    <row r="3" spans="1:9" ht="29.4" thickBot="1" x14ac:dyDescent="0.6">
      <c r="E3" s="1"/>
    </row>
    <row r="4" spans="1:9" ht="61.8" thickBot="1" x14ac:dyDescent="1.1499999999999999">
      <c r="A4" s="25" t="s">
        <v>12</v>
      </c>
      <c r="B4" s="155" t="s">
        <v>30</v>
      </c>
      <c r="C4" s="156"/>
      <c r="D4" s="86"/>
      <c r="E4" s="116" t="s">
        <v>14</v>
      </c>
    </row>
    <row r="5" spans="1:9" ht="61.2" x14ac:dyDescent="1.1000000000000001">
      <c r="A5" s="73">
        <v>1</v>
      </c>
      <c r="B5" s="157" t="s">
        <v>36</v>
      </c>
      <c r="C5" s="158"/>
      <c r="D5" s="91"/>
      <c r="E5" s="42">
        <f>CLAN!C15</f>
        <v>17580</v>
      </c>
    </row>
    <row r="6" spans="1:9" ht="61.8" thickBot="1" x14ac:dyDescent="1.1499999999999999">
      <c r="A6" s="74">
        <v>2</v>
      </c>
      <c r="B6" s="159" t="s">
        <v>41</v>
      </c>
      <c r="C6" s="160"/>
      <c r="D6" s="143"/>
      <c r="E6" s="40">
        <f>'Final Total'!C18</f>
        <v>81261</v>
      </c>
    </row>
    <row r="7" spans="1:9" ht="61.8" thickBot="1" x14ac:dyDescent="1.1499999999999999">
      <c r="A7" s="162">
        <v>3</v>
      </c>
      <c r="B7" s="165" t="s">
        <v>50</v>
      </c>
      <c r="C7" s="149" t="s">
        <v>30</v>
      </c>
      <c r="D7" s="150" t="s">
        <v>19</v>
      </c>
      <c r="E7" s="151">
        <v>0</v>
      </c>
    </row>
    <row r="8" spans="1:9" ht="61.2" customHeight="1" x14ac:dyDescent="1.1000000000000001">
      <c r="A8" s="163"/>
      <c r="B8" s="166"/>
      <c r="C8" s="144" t="s">
        <v>89</v>
      </c>
      <c r="D8" s="42">
        <f>BHN!D13</f>
        <v>2380</v>
      </c>
      <c r="E8" s="167">
        <f>D8+D9+D10+D11+D12</f>
        <v>70344</v>
      </c>
    </row>
    <row r="9" spans="1:9" ht="61.2" x14ac:dyDescent="1.1000000000000001">
      <c r="A9" s="163"/>
      <c r="B9" s="166"/>
      <c r="C9" s="145" t="s">
        <v>40</v>
      </c>
      <c r="D9" s="35">
        <f>Nagad!D12</f>
        <v>5849</v>
      </c>
      <c r="E9" s="167"/>
    </row>
    <row r="10" spans="1:9" ht="61.2" x14ac:dyDescent="1.1000000000000001">
      <c r="A10" s="163"/>
      <c r="B10" s="166"/>
      <c r="C10" s="146" t="s">
        <v>48</v>
      </c>
      <c r="D10" s="35">
        <f>'BATB CE '!D11</f>
        <v>1580</v>
      </c>
      <c r="E10" s="167"/>
    </row>
    <row r="11" spans="1:9" ht="61.2" x14ac:dyDescent="1.1000000000000001">
      <c r="A11" s="163"/>
      <c r="B11" s="166"/>
      <c r="C11" s="145" t="s">
        <v>94</v>
      </c>
      <c r="D11" s="35">
        <f>'BATB PFP'!D12</f>
        <v>8500</v>
      </c>
      <c r="E11" s="167"/>
    </row>
    <row r="12" spans="1:9" ht="61.5" customHeight="1" x14ac:dyDescent="0.55000000000000004">
      <c r="A12" s="164"/>
      <c r="B12" s="166"/>
      <c r="C12" s="147" t="s">
        <v>49</v>
      </c>
      <c r="D12" s="148">
        <f>'BPO Final'!C18</f>
        <v>52035</v>
      </c>
      <c r="E12" s="168"/>
    </row>
    <row r="13" spans="1:9" ht="61.8" thickBot="1" x14ac:dyDescent="1.1499999999999999">
      <c r="A13" s="74">
        <v>4</v>
      </c>
      <c r="B13" s="169" t="s">
        <v>15</v>
      </c>
      <c r="C13" s="169"/>
      <c r="D13" s="169"/>
      <c r="E13" s="40">
        <f>'Director''s Monthly Total Expens'!B9</f>
        <v>16761</v>
      </c>
    </row>
    <row r="14" spans="1:9" ht="92.4" thickBot="1" x14ac:dyDescent="1.7">
      <c r="B14" s="153" t="s">
        <v>33</v>
      </c>
      <c r="C14" s="153"/>
      <c r="D14" s="154"/>
      <c r="E14" s="41">
        <f>SUM(E5:E13)</f>
        <v>185946</v>
      </c>
    </row>
  </sheetData>
  <mergeCells count="9">
    <mergeCell ref="E8:E12"/>
    <mergeCell ref="A1:E1"/>
    <mergeCell ref="B13:D13"/>
    <mergeCell ref="B14:D14"/>
    <mergeCell ref="B4:C4"/>
    <mergeCell ref="B5:C5"/>
    <mergeCell ref="B6:C6"/>
    <mergeCell ref="B7:B12"/>
    <mergeCell ref="A7:A12"/>
  </mergeCells>
  <pageMargins left="0.45" right="0.2" top="1.25" bottom="0.75" header="0.3" footer="0.3"/>
  <pageSetup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tabSelected="1" view="pageBreakPreview" topLeftCell="A4" zoomScale="23" zoomScaleSheetLayoutView="23" workbookViewId="0">
      <selection activeCell="D10" sqref="D10"/>
    </sheetView>
  </sheetViews>
  <sheetFormatPr defaultColWidth="9.109375" defaultRowHeight="28.8" x14ac:dyDescent="0.55000000000000004"/>
  <cols>
    <col min="1" max="1" width="27" style="70" bestFit="1" customWidth="1"/>
    <col min="2" max="2" width="50.88671875" style="70" bestFit="1" customWidth="1"/>
    <col min="3" max="3" width="60.88671875" style="70" customWidth="1"/>
    <col min="4" max="4" width="56.21875" style="70" customWidth="1"/>
    <col min="5" max="5" width="53.77734375" style="70" customWidth="1"/>
    <col min="6" max="6" width="9.109375" style="70"/>
    <col min="7" max="7" width="14.5546875" style="70" bestFit="1" customWidth="1"/>
    <col min="8" max="8" width="9.109375" style="70"/>
    <col min="9" max="9" width="12.21875" style="70" bestFit="1" customWidth="1"/>
    <col min="10" max="16384" width="9.109375" style="70"/>
  </cols>
  <sheetData>
    <row r="1" spans="1:9" ht="231.75" customHeight="1" x14ac:dyDescent="0.85">
      <c r="A1" s="161" t="s">
        <v>251</v>
      </c>
      <c r="B1" s="161"/>
      <c r="C1" s="161"/>
      <c r="D1" s="161"/>
      <c r="E1" s="161"/>
      <c r="F1" s="94"/>
      <c r="G1" s="94" t="s">
        <v>20</v>
      </c>
      <c r="H1" s="60"/>
      <c r="I1" s="60"/>
    </row>
    <row r="2" spans="1:9" ht="177" customHeight="1" x14ac:dyDescent="0.85">
      <c r="A2" s="76"/>
      <c r="B2" s="89"/>
      <c r="C2" s="89"/>
      <c r="D2" s="89"/>
      <c r="E2" s="89"/>
      <c r="F2" s="89"/>
      <c r="G2" s="89"/>
      <c r="H2" s="60"/>
      <c r="I2" s="60"/>
    </row>
    <row r="3" spans="1:9" ht="29.4" thickBot="1" x14ac:dyDescent="0.6">
      <c r="E3" s="1"/>
    </row>
    <row r="4" spans="1:9" ht="61.8" thickBot="1" x14ac:dyDescent="1.1499999999999999">
      <c r="A4" s="25" t="s">
        <v>12</v>
      </c>
      <c r="B4" s="155" t="s">
        <v>30</v>
      </c>
      <c r="C4" s="156"/>
      <c r="D4" s="86"/>
      <c r="E4" s="151" t="s">
        <v>184</v>
      </c>
    </row>
    <row r="5" spans="1:9" ht="61.2" x14ac:dyDescent="1.1000000000000001">
      <c r="A5" s="73">
        <v>1</v>
      </c>
      <c r="B5" s="157" t="s">
        <v>36</v>
      </c>
      <c r="C5" s="158"/>
      <c r="D5" s="91"/>
      <c r="E5" s="42">
        <f>CLAN!C15</f>
        <v>17580</v>
      </c>
    </row>
    <row r="6" spans="1:9" ht="61.8" thickBot="1" x14ac:dyDescent="1.1499999999999999">
      <c r="A6" s="74">
        <v>2</v>
      </c>
      <c r="B6" s="159" t="s">
        <v>41</v>
      </c>
      <c r="C6" s="160"/>
      <c r="D6" s="143"/>
      <c r="E6" s="40">
        <f>'IMS Expenses'!C17</f>
        <v>91470</v>
      </c>
    </row>
    <row r="7" spans="1:9" ht="61.8" thickBot="1" x14ac:dyDescent="1.1499999999999999">
      <c r="A7" s="162">
        <v>3</v>
      </c>
      <c r="B7" s="165" t="s">
        <v>50</v>
      </c>
      <c r="C7" s="149" t="s">
        <v>30</v>
      </c>
      <c r="D7" s="150" t="s">
        <v>19</v>
      </c>
      <c r="E7" s="151">
        <v>0</v>
      </c>
    </row>
    <row r="8" spans="1:9" ht="61.2" customHeight="1" x14ac:dyDescent="1.1000000000000001">
      <c r="A8" s="163"/>
      <c r="B8" s="166"/>
      <c r="C8" s="144" t="s">
        <v>89</v>
      </c>
      <c r="D8" s="42">
        <f>BHN!D13</f>
        <v>2380</v>
      </c>
      <c r="E8" s="167">
        <f>D8+D9+D10+D11+D12</f>
        <v>60135</v>
      </c>
    </row>
    <row r="9" spans="1:9" ht="61.2" x14ac:dyDescent="1.1000000000000001">
      <c r="A9" s="163"/>
      <c r="B9" s="166"/>
      <c r="C9" s="145" t="s">
        <v>40</v>
      </c>
      <c r="D9" s="35">
        <f>Nagad!D12</f>
        <v>5849</v>
      </c>
      <c r="E9" s="167"/>
    </row>
    <row r="10" spans="1:9" ht="61.2" x14ac:dyDescent="1.1000000000000001">
      <c r="A10" s="163"/>
      <c r="B10" s="166"/>
      <c r="C10" s="146" t="s">
        <v>48</v>
      </c>
      <c r="D10" s="35">
        <f>'BATB CE '!D11</f>
        <v>1580</v>
      </c>
      <c r="E10" s="167"/>
    </row>
    <row r="11" spans="1:9" ht="61.2" x14ac:dyDescent="1.1000000000000001">
      <c r="A11" s="163"/>
      <c r="B11" s="166"/>
      <c r="C11" s="145" t="s">
        <v>94</v>
      </c>
      <c r="D11" s="35">
        <f>'BATB PFP'!D12</f>
        <v>8500</v>
      </c>
      <c r="E11" s="167"/>
    </row>
    <row r="12" spans="1:9" ht="61.5" customHeight="1" x14ac:dyDescent="0.55000000000000004">
      <c r="A12" s="164"/>
      <c r="B12" s="166"/>
      <c r="C12" s="147" t="s">
        <v>49</v>
      </c>
      <c r="D12" s="148">
        <f>'BPO 1'!C17</f>
        <v>41826</v>
      </c>
      <c r="E12" s="168"/>
    </row>
    <row r="13" spans="1:9" ht="61.8" thickBot="1" x14ac:dyDescent="1.1499999999999999">
      <c r="A13" s="74">
        <v>4</v>
      </c>
      <c r="B13" s="169" t="s">
        <v>15</v>
      </c>
      <c r="C13" s="169"/>
      <c r="D13" s="169"/>
      <c r="E13" s="40">
        <f>'Director''s Monthly Total Expens'!B9</f>
        <v>16761</v>
      </c>
    </row>
    <row r="14" spans="1:9" ht="92.4" thickBot="1" x14ac:dyDescent="1.7">
      <c r="B14" s="153" t="s">
        <v>33</v>
      </c>
      <c r="C14" s="153"/>
      <c r="D14" s="154"/>
      <c r="E14" s="41">
        <f>SUM(E5:E13)</f>
        <v>185946</v>
      </c>
    </row>
  </sheetData>
  <mergeCells count="9">
    <mergeCell ref="B14:D14"/>
    <mergeCell ref="B4:C4"/>
    <mergeCell ref="B5:C5"/>
    <mergeCell ref="B6:C6"/>
    <mergeCell ref="A1:E1"/>
    <mergeCell ref="A7:A12"/>
    <mergeCell ref="B7:B12"/>
    <mergeCell ref="E8:E12"/>
    <mergeCell ref="B13:D13"/>
  </mergeCells>
  <pageMargins left="0.45" right="0.45" top="1.25" bottom="0.75" header="0.3" footer="0.3"/>
  <pageSetup scale="3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8"/>
  <sheetViews>
    <sheetView view="pageBreakPreview" topLeftCell="A8" zoomScale="27" zoomScaleSheetLayoutView="27" workbookViewId="0">
      <selection activeCell="J13" sqref="J13"/>
    </sheetView>
  </sheetViews>
  <sheetFormatPr defaultRowHeight="14.4" x14ac:dyDescent="0.3"/>
  <cols>
    <col min="1" max="1" width="14.5546875" bestFit="1" customWidth="1"/>
    <col min="2" max="2" width="135.5546875" customWidth="1"/>
    <col min="3" max="3" width="49.33203125" bestFit="1" customWidth="1"/>
  </cols>
  <sheetData>
    <row r="1" spans="1:17" hidden="1" x14ac:dyDescent="0.3"/>
    <row r="2" spans="1:17" ht="78" customHeight="1" x14ac:dyDescent="0.3">
      <c r="A2" s="170" t="s">
        <v>252</v>
      </c>
      <c r="B2" s="170"/>
      <c r="C2" s="170"/>
      <c r="D2" s="68"/>
      <c r="E2" s="68"/>
      <c r="F2" s="68"/>
      <c r="G2" s="68"/>
      <c r="H2" s="68"/>
      <c r="I2" s="68"/>
      <c r="J2" s="67"/>
      <c r="K2" s="67"/>
      <c r="L2" s="67"/>
      <c r="M2" s="67"/>
      <c r="N2" s="67"/>
      <c r="O2" s="67"/>
      <c r="P2" s="67"/>
    </row>
    <row r="3" spans="1:17" ht="78" customHeight="1" x14ac:dyDescent="0.3">
      <c r="B3" s="67"/>
      <c r="C3" s="67"/>
      <c r="D3" s="68"/>
      <c r="E3" s="68"/>
      <c r="F3" s="68"/>
      <c r="G3" s="68"/>
      <c r="H3" s="68"/>
      <c r="I3" s="68"/>
      <c r="J3" s="67"/>
      <c r="K3" s="67"/>
      <c r="L3" s="67"/>
      <c r="M3" s="67"/>
      <c r="N3" s="67"/>
      <c r="O3" s="67"/>
      <c r="P3" s="67"/>
    </row>
    <row r="4" spans="1:17" ht="78" customHeight="1" x14ac:dyDescent="0.3">
      <c r="B4" s="67"/>
      <c r="C4" s="67"/>
      <c r="D4" s="68"/>
      <c r="E4" s="68"/>
      <c r="F4" s="68"/>
      <c r="G4" s="68"/>
      <c r="H4" s="68"/>
      <c r="I4" s="68"/>
      <c r="J4" s="67"/>
      <c r="K4" s="67"/>
      <c r="L4" s="67"/>
      <c r="M4" s="67"/>
      <c r="N4" s="67"/>
      <c r="O4" s="67"/>
      <c r="P4" s="67"/>
    </row>
    <row r="5" spans="1:17" ht="61.2" x14ac:dyDescent="1.1000000000000001">
      <c r="C5" s="21"/>
    </row>
    <row r="7" spans="1:17" ht="34.200000000000003" thickBot="1" x14ac:dyDescent="0.7">
      <c r="B7" s="4"/>
    </row>
    <row r="8" spans="1:17" ht="46.8" thickBot="1" x14ac:dyDescent="0.9">
      <c r="A8" s="6" t="s">
        <v>12</v>
      </c>
      <c r="B8" s="13" t="s">
        <v>13</v>
      </c>
      <c r="C8" s="14" t="s">
        <v>14</v>
      </c>
    </row>
    <row r="9" spans="1:17" ht="61.2" x14ac:dyDescent="1.1000000000000001">
      <c r="A9" s="53">
        <v>1</v>
      </c>
      <c r="B9" s="36" t="s">
        <v>43</v>
      </c>
      <c r="C9" s="42">
        <f>'Office staff food'!C13</f>
        <v>17338</v>
      </c>
    </row>
    <row r="10" spans="1:17" ht="61.2" x14ac:dyDescent="1.1000000000000001">
      <c r="A10" s="54">
        <v>2</v>
      </c>
      <c r="B10" s="29" t="s">
        <v>35</v>
      </c>
      <c r="C10" s="35">
        <f>'Food for Guest '!C31</f>
        <v>10305</v>
      </c>
    </row>
    <row r="11" spans="1:17" ht="61.2" x14ac:dyDescent="1.1000000000000001">
      <c r="A11" s="54">
        <v>3</v>
      </c>
      <c r="B11" s="29" t="s">
        <v>44</v>
      </c>
      <c r="C11" s="35">
        <f>Grocery!C30</f>
        <v>10505</v>
      </c>
    </row>
    <row r="12" spans="1:17" ht="61.2" x14ac:dyDescent="1.1000000000000001">
      <c r="A12" s="54">
        <v>4</v>
      </c>
      <c r="B12" s="29" t="s">
        <v>45</v>
      </c>
      <c r="C12" s="35">
        <f>Stationary!C37</f>
        <v>7580</v>
      </c>
    </row>
    <row r="13" spans="1:17" ht="61.2" x14ac:dyDescent="1.1000000000000001">
      <c r="A13" s="54">
        <v>5</v>
      </c>
      <c r="B13" s="29" t="s">
        <v>29</v>
      </c>
      <c r="C13" s="35">
        <f>'Office Others'!C20</f>
        <v>23689</v>
      </c>
      <c r="Q13" t="s">
        <v>20</v>
      </c>
    </row>
    <row r="14" spans="1:17" ht="61.2" x14ac:dyDescent="1.1000000000000001">
      <c r="A14" s="54">
        <v>6</v>
      </c>
      <c r="B14" s="24" t="s">
        <v>39</v>
      </c>
      <c r="C14" s="35">
        <f>'Office Laptop '!C11</f>
        <v>0</v>
      </c>
    </row>
    <row r="15" spans="1:17" ht="61.2" x14ac:dyDescent="1.1000000000000001">
      <c r="A15" s="54">
        <v>7</v>
      </c>
      <c r="B15" s="24" t="s">
        <v>38</v>
      </c>
      <c r="C15" s="35">
        <f>'Electric purpose'!C8</f>
        <v>820</v>
      </c>
    </row>
    <row r="16" spans="1:17" ht="61.2" x14ac:dyDescent="1.1000000000000001">
      <c r="A16" s="54">
        <v>8</v>
      </c>
      <c r="B16" s="24" t="s">
        <v>176</v>
      </c>
      <c r="C16" s="35">
        <f>Conveyance!G71</f>
        <v>10209</v>
      </c>
      <c r="O16" t="s">
        <v>28</v>
      </c>
    </row>
    <row r="17" spans="1:14" ht="61.8" thickBot="1" x14ac:dyDescent="1.1499999999999999">
      <c r="A17" s="54">
        <v>9</v>
      </c>
      <c r="B17" s="29" t="s">
        <v>18</v>
      </c>
      <c r="C17" s="42">
        <f>Household!C12</f>
        <v>815</v>
      </c>
      <c r="N17" t="s">
        <v>34</v>
      </c>
    </row>
    <row r="18" spans="1:14" ht="92.4" thickBot="1" x14ac:dyDescent="1.7">
      <c r="B18" s="119" t="s">
        <v>33</v>
      </c>
      <c r="C18" s="41">
        <f>SUM(C9:C17)</f>
        <v>81261</v>
      </c>
    </row>
  </sheetData>
  <mergeCells count="1">
    <mergeCell ref="A2:C2"/>
  </mergeCells>
  <pageMargins left="0.7" right="0.2" top="1.5" bottom="0.75" header="0.3" footer="0.3"/>
  <pageSetup paperSize="9" scale="46" orientation="portrait" r:id="rId1"/>
  <colBreaks count="1" manualBreakCount="1">
    <brk id="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"/>
  <sheetViews>
    <sheetView view="pageBreakPreview" topLeftCell="A5" zoomScale="22" zoomScaleSheetLayoutView="22" workbookViewId="0">
      <selection activeCell="L11" sqref="L11"/>
    </sheetView>
  </sheetViews>
  <sheetFormatPr defaultRowHeight="14.4" x14ac:dyDescent="0.3"/>
  <cols>
    <col min="1" max="1" width="21.6640625" customWidth="1"/>
    <col min="2" max="2" width="121.33203125" customWidth="1"/>
    <col min="3" max="3" width="49.33203125" bestFit="1" customWidth="1"/>
  </cols>
  <sheetData>
    <row r="1" spans="1:17" hidden="1" x14ac:dyDescent="0.3"/>
    <row r="2" spans="1:17" ht="78" customHeight="1" x14ac:dyDescent="0.3">
      <c r="A2" s="170" t="s">
        <v>252</v>
      </c>
      <c r="B2" s="170"/>
      <c r="C2" s="170"/>
      <c r="D2" s="68"/>
      <c r="E2" s="68"/>
      <c r="F2" s="68"/>
      <c r="G2" s="68"/>
      <c r="H2" s="68"/>
      <c r="I2" s="68"/>
      <c r="J2" s="67"/>
      <c r="K2" s="67"/>
      <c r="L2" s="67"/>
      <c r="M2" s="67"/>
      <c r="N2" s="67"/>
      <c r="O2" s="67"/>
      <c r="P2" s="67"/>
    </row>
    <row r="3" spans="1:17" ht="78" customHeight="1" x14ac:dyDescent="0.3">
      <c r="B3" s="67"/>
      <c r="C3" s="67"/>
      <c r="D3" s="68"/>
      <c r="E3" s="68"/>
      <c r="F3" s="68"/>
      <c r="G3" s="68"/>
      <c r="H3" s="68"/>
      <c r="I3" s="68"/>
      <c r="J3" s="67"/>
      <c r="K3" s="67"/>
      <c r="L3" s="67"/>
      <c r="M3" s="67"/>
      <c r="N3" s="67"/>
      <c r="O3" s="67"/>
      <c r="P3" s="67"/>
    </row>
    <row r="4" spans="1:17" ht="61.2" x14ac:dyDescent="1.1000000000000001">
      <c r="C4" s="21"/>
    </row>
    <row r="6" spans="1:17" ht="34.200000000000003" thickBot="1" x14ac:dyDescent="0.7">
      <c r="B6" s="4"/>
    </row>
    <row r="7" spans="1:17" ht="46.8" thickBot="1" x14ac:dyDescent="0.9">
      <c r="A7" s="6" t="s">
        <v>12</v>
      </c>
      <c r="B7" s="13" t="s">
        <v>13</v>
      </c>
      <c r="C7" s="14" t="s">
        <v>14</v>
      </c>
    </row>
    <row r="8" spans="1:17" ht="61.2" x14ac:dyDescent="1.1000000000000001">
      <c r="A8" s="53">
        <v>1</v>
      </c>
      <c r="B8" s="36" t="s">
        <v>43</v>
      </c>
      <c r="C8" s="42">
        <f>'Office staff food'!C13</f>
        <v>17338</v>
      </c>
    </row>
    <row r="9" spans="1:17" ht="61.2" x14ac:dyDescent="1.1000000000000001">
      <c r="A9" s="53">
        <v>2</v>
      </c>
      <c r="B9" s="29" t="s">
        <v>35</v>
      </c>
      <c r="C9" s="35">
        <f>'Food for Guest '!C31</f>
        <v>10305</v>
      </c>
    </row>
    <row r="10" spans="1:17" ht="61.2" x14ac:dyDescent="1.1000000000000001">
      <c r="A10" s="53">
        <v>3</v>
      </c>
      <c r="B10" s="29" t="s">
        <v>46</v>
      </c>
      <c r="C10" s="35">
        <f>Grocery!C30</f>
        <v>10505</v>
      </c>
    </row>
    <row r="11" spans="1:17" ht="61.2" x14ac:dyDescent="1.1000000000000001">
      <c r="A11" s="53">
        <v>4</v>
      </c>
      <c r="B11" s="29" t="s">
        <v>47</v>
      </c>
      <c r="C11" s="35">
        <f>Stationary!C37</f>
        <v>7580</v>
      </c>
    </row>
    <row r="12" spans="1:17" ht="61.2" x14ac:dyDescent="1.1000000000000001">
      <c r="A12" s="53">
        <v>5</v>
      </c>
      <c r="B12" s="29" t="s">
        <v>29</v>
      </c>
      <c r="C12" s="35">
        <f>'Office Others'!C20</f>
        <v>23689</v>
      </c>
      <c r="Q12" t="s">
        <v>20</v>
      </c>
    </row>
    <row r="13" spans="1:17" ht="61.2" x14ac:dyDescent="1.1000000000000001">
      <c r="A13" s="53">
        <v>6</v>
      </c>
      <c r="B13" s="24" t="s">
        <v>52</v>
      </c>
      <c r="C13" s="35">
        <f>'Office Laptop '!C11</f>
        <v>0</v>
      </c>
    </row>
    <row r="14" spans="1:17" ht="61.2" x14ac:dyDescent="1.1000000000000001">
      <c r="A14" s="53">
        <v>7</v>
      </c>
      <c r="B14" s="24" t="s">
        <v>38</v>
      </c>
      <c r="C14" s="35">
        <f>'Electric purpose'!C8</f>
        <v>820</v>
      </c>
    </row>
    <row r="15" spans="1:17" ht="61.2" x14ac:dyDescent="0.85">
      <c r="A15" s="53">
        <v>8</v>
      </c>
      <c r="B15" s="57" t="s">
        <v>6</v>
      </c>
      <c r="C15" s="48">
        <f>Conveyance!G70</f>
        <v>20418</v>
      </c>
      <c r="O15" t="s">
        <v>28</v>
      </c>
    </row>
    <row r="16" spans="1:17" ht="61.8" thickBot="1" x14ac:dyDescent="1.1499999999999999">
      <c r="A16" s="53">
        <v>9</v>
      </c>
      <c r="B16" s="24" t="s">
        <v>18</v>
      </c>
      <c r="C16" s="42">
        <f>Household!C12</f>
        <v>815</v>
      </c>
      <c r="N16" t="s">
        <v>34</v>
      </c>
    </row>
    <row r="17" spans="2:3" ht="92.4" thickBot="1" x14ac:dyDescent="1.7">
      <c r="B17" s="71" t="s">
        <v>33</v>
      </c>
      <c r="C17" s="41">
        <f>SUM(C8:C16)</f>
        <v>91470</v>
      </c>
    </row>
  </sheetData>
  <mergeCells count="1">
    <mergeCell ref="A2:C2"/>
  </mergeCells>
  <pageMargins left="0.45" right="0.2" top="1.5" bottom="0.25" header="0.3" footer="0.3"/>
  <pageSetup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1"/>
  <sheetViews>
    <sheetView view="pageBreakPreview" zoomScale="29" zoomScaleNormal="78" zoomScaleSheetLayoutView="29" workbookViewId="0">
      <selection activeCell="A9" sqref="A9"/>
    </sheetView>
  </sheetViews>
  <sheetFormatPr defaultColWidth="9.109375" defaultRowHeight="23.4" x14ac:dyDescent="0.45"/>
  <cols>
    <col min="1" max="1" width="36.5546875" style="16" customWidth="1"/>
    <col min="2" max="2" width="95.88671875" style="16" customWidth="1"/>
    <col min="3" max="3" width="40.88671875" style="16" bestFit="1" customWidth="1"/>
    <col min="4" max="8" width="9.109375" style="16"/>
    <col min="9" max="9" width="9.109375" style="16" customWidth="1"/>
    <col min="10" max="16384" width="9.109375" style="16"/>
  </cols>
  <sheetData>
    <row r="1" spans="1:3" ht="182.25" customHeight="1" x14ac:dyDescent="0.45">
      <c r="A1" s="171" t="s">
        <v>200</v>
      </c>
      <c r="B1" s="171"/>
      <c r="C1" s="171"/>
    </row>
    <row r="2" spans="1:3" x14ac:dyDescent="0.45">
      <c r="A2" s="28"/>
      <c r="B2" s="28"/>
      <c r="C2" s="28"/>
    </row>
    <row r="3" spans="1:3" x14ac:dyDescent="0.45">
      <c r="A3" s="28"/>
      <c r="B3" s="28"/>
      <c r="C3" s="28"/>
    </row>
    <row r="4" spans="1:3" x14ac:dyDescent="0.45">
      <c r="A4" s="28"/>
      <c r="B4" s="28"/>
      <c r="C4" s="28"/>
    </row>
    <row r="5" spans="1:3" x14ac:dyDescent="0.45">
      <c r="A5" s="28"/>
      <c r="B5" s="28"/>
      <c r="C5" s="28"/>
    </row>
    <row r="6" spans="1:3" x14ac:dyDescent="0.45">
      <c r="A6" s="28"/>
      <c r="B6" s="28"/>
      <c r="C6" s="28"/>
    </row>
    <row r="7" spans="1:3" ht="24" thickBot="1" x14ac:dyDescent="0.5"/>
    <row r="8" spans="1:3" ht="46.8" thickBot="1" x14ac:dyDescent="0.5">
      <c r="A8" s="44" t="s">
        <v>3</v>
      </c>
      <c r="B8" s="45" t="s">
        <v>4</v>
      </c>
      <c r="C8" s="46" t="s">
        <v>5</v>
      </c>
    </row>
    <row r="9" spans="1:3" ht="61.2" x14ac:dyDescent="0.45">
      <c r="A9" s="43">
        <v>45992</v>
      </c>
      <c r="B9" s="65" t="s">
        <v>196</v>
      </c>
      <c r="C9" s="103">
        <v>1680</v>
      </c>
    </row>
    <row r="10" spans="1:3" ht="92.4" x14ac:dyDescent="0.45">
      <c r="A10" s="43">
        <v>45998</v>
      </c>
      <c r="B10" s="65" t="s">
        <v>197</v>
      </c>
      <c r="C10" s="103">
        <v>1880</v>
      </c>
    </row>
    <row r="11" spans="1:3" ht="61.2" x14ac:dyDescent="0.45">
      <c r="A11" s="43">
        <v>45998</v>
      </c>
      <c r="B11" s="65" t="s">
        <v>198</v>
      </c>
      <c r="C11" s="103">
        <v>615</v>
      </c>
    </row>
    <row r="12" spans="1:3" ht="61.2" x14ac:dyDescent="0.45">
      <c r="A12" s="43">
        <v>45999</v>
      </c>
      <c r="B12" s="65" t="s">
        <v>198</v>
      </c>
      <c r="C12" s="103">
        <v>495</v>
      </c>
    </row>
    <row r="13" spans="1:3" ht="61.2" x14ac:dyDescent="0.45">
      <c r="A13" s="43">
        <v>46000</v>
      </c>
      <c r="B13" s="65" t="s">
        <v>198</v>
      </c>
      <c r="C13" s="103">
        <v>190</v>
      </c>
    </row>
    <row r="14" spans="1:3" ht="61.2" x14ac:dyDescent="0.45">
      <c r="A14" s="43">
        <v>46001</v>
      </c>
      <c r="B14" s="65" t="s">
        <v>198</v>
      </c>
      <c r="C14" s="103">
        <v>190</v>
      </c>
    </row>
    <row r="15" spans="1:3" ht="61.2" x14ac:dyDescent="0.45">
      <c r="A15" s="43">
        <v>46002</v>
      </c>
      <c r="B15" s="65" t="s">
        <v>198</v>
      </c>
      <c r="C15" s="103">
        <v>205</v>
      </c>
    </row>
    <row r="16" spans="1:3" ht="61.2" x14ac:dyDescent="0.45">
      <c r="A16" s="43">
        <v>46005</v>
      </c>
      <c r="B16" s="65" t="s">
        <v>198</v>
      </c>
      <c r="C16" s="103">
        <v>275</v>
      </c>
    </row>
    <row r="17" spans="1:9" ht="61.2" x14ac:dyDescent="0.45">
      <c r="A17" s="43">
        <v>46012</v>
      </c>
      <c r="B17" s="65" t="s">
        <v>198</v>
      </c>
      <c r="C17" s="103">
        <v>705</v>
      </c>
    </row>
    <row r="18" spans="1:9" ht="61.2" x14ac:dyDescent="0.45">
      <c r="A18" s="43">
        <v>46014</v>
      </c>
      <c r="B18" s="65" t="s">
        <v>177</v>
      </c>
      <c r="C18" s="103">
        <v>500</v>
      </c>
    </row>
    <row r="19" spans="1:9" ht="92.4" x14ac:dyDescent="0.45">
      <c r="A19" s="43">
        <v>46014</v>
      </c>
      <c r="B19" s="65" t="s">
        <v>197</v>
      </c>
      <c r="C19" s="103">
        <v>1180</v>
      </c>
    </row>
    <row r="20" spans="1:9" ht="61.2" x14ac:dyDescent="0.45">
      <c r="A20" s="43">
        <v>46019</v>
      </c>
      <c r="B20" s="65" t="s">
        <v>198</v>
      </c>
      <c r="C20" s="103">
        <v>205</v>
      </c>
    </row>
    <row r="21" spans="1:9" ht="61.2" x14ac:dyDescent="0.45">
      <c r="A21" s="43">
        <v>46021</v>
      </c>
      <c r="B21" s="65" t="s">
        <v>199</v>
      </c>
      <c r="C21" s="103">
        <v>1760</v>
      </c>
    </row>
    <row r="22" spans="1:9" ht="61.8" thickBot="1" x14ac:dyDescent="0.5">
      <c r="A22" s="43">
        <v>46022</v>
      </c>
      <c r="B22" s="65" t="s">
        <v>198</v>
      </c>
      <c r="C22" s="103">
        <v>425</v>
      </c>
    </row>
    <row r="23" spans="1:9" ht="46.2" hidden="1" x14ac:dyDescent="0.85">
      <c r="A23" s="43">
        <v>46023</v>
      </c>
      <c r="B23" s="65" t="s">
        <v>178</v>
      </c>
      <c r="C23" s="12">
        <f>SUM(C9:C22)</f>
        <v>10305</v>
      </c>
    </row>
    <row r="24" spans="1:9" ht="46.2" hidden="1" x14ac:dyDescent="0.85">
      <c r="A24" s="43">
        <v>46024</v>
      </c>
      <c r="B24" s="65" t="s">
        <v>178</v>
      </c>
      <c r="C24" s="12"/>
    </row>
    <row r="25" spans="1:9" ht="46.2" hidden="1" x14ac:dyDescent="0.85">
      <c r="A25" s="43">
        <v>46025</v>
      </c>
      <c r="B25" s="65" t="s">
        <v>178</v>
      </c>
      <c r="C25" s="12"/>
    </row>
    <row r="26" spans="1:9" ht="46.2" hidden="1" x14ac:dyDescent="0.85">
      <c r="A26" s="43">
        <v>46026</v>
      </c>
      <c r="B26" s="65" t="s">
        <v>178</v>
      </c>
      <c r="C26" s="12"/>
    </row>
    <row r="27" spans="1:9" ht="46.2" hidden="1" x14ac:dyDescent="0.85">
      <c r="A27" s="43">
        <v>46027</v>
      </c>
      <c r="B27" s="65" t="s">
        <v>178</v>
      </c>
      <c r="C27" s="12"/>
    </row>
    <row r="28" spans="1:9" ht="46.8" hidden="1" thickBot="1" x14ac:dyDescent="0.9">
      <c r="A28" s="43">
        <v>46028</v>
      </c>
      <c r="B28" s="65" t="s">
        <v>178</v>
      </c>
      <c r="C28" s="12"/>
    </row>
    <row r="29" spans="1:9" ht="46.2" hidden="1" x14ac:dyDescent="0.85">
      <c r="A29" s="43">
        <v>46029</v>
      </c>
      <c r="B29" s="65" t="s">
        <v>178</v>
      </c>
      <c r="C29" s="60"/>
    </row>
    <row r="30" spans="1:9" ht="46.8" hidden="1" thickBot="1" x14ac:dyDescent="0.9">
      <c r="A30" s="43">
        <v>46030</v>
      </c>
      <c r="B30" s="65" t="s">
        <v>178</v>
      </c>
      <c r="C30" s="10"/>
    </row>
    <row r="31" spans="1:9" ht="92.4" thickBot="1" x14ac:dyDescent="1.7">
      <c r="A31" s="60"/>
      <c r="B31" s="60"/>
      <c r="C31" s="41">
        <f>SUM(C9:C22)</f>
        <v>10305</v>
      </c>
      <c r="I31" s="16" t="s">
        <v>20</v>
      </c>
    </row>
  </sheetData>
  <mergeCells count="1">
    <mergeCell ref="A1:C1"/>
  </mergeCells>
  <pageMargins left="1" right="0.2" top="1.25" bottom="0.5" header="0.3" footer="0.3"/>
  <pageSetup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view="pageBreakPreview" zoomScale="23" zoomScaleNormal="78" zoomScaleSheetLayoutView="23" workbookViewId="0">
      <selection activeCell="F5" sqref="F5"/>
    </sheetView>
  </sheetViews>
  <sheetFormatPr defaultColWidth="9.33203125" defaultRowHeight="14.4" x14ac:dyDescent="0.3"/>
  <cols>
    <col min="1" max="1" width="38.44140625" bestFit="1" customWidth="1"/>
    <col min="2" max="2" width="171.5546875" customWidth="1"/>
    <col min="3" max="3" width="50.44140625" customWidth="1"/>
  </cols>
  <sheetData>
    <row r="1" spans="1:3" ht="91.8" x14ac:dyDescent="1.65">
      <c r="A1" s="172" t="s">
        <v>201</v>
      </c>
      <c r="B1" s="172"/>
      <c r="C1" s="172"/>
    </row>
    <row r="2" spans="1:3" ht="91.8" x14ac:dyDescent="1.65">
      <c r="A2" s="38"/>
      <c r="B2" s="38"/>
      <c r="C2" s="38"/>
    </row>
    <row r="3" spans="1:3" ht="91.8" x14ac:dyDescent="1.65">
      <c r="A3" s="38"/>
      <c r="B3" s="38"/>
      <c r="C3" s="38"/>
    </row>
    <row r="4" spans="1:3" ht="91.8" x14ac:dyDescent="1.65">
      <c r="A4" s="38"/>
      <c r="B4" s="38"/>
      <c r="C4" s="38"/>
    </row>
    <row r="5" spans="1:3" ht="91.8" x14ac:dyDescent="1.65">
      <c r="B5" s="38"/>
    </row>
    <row r="6" spans="1:3" ht="61.8" thickBot="1" x14ac:dyDescent="1.1499999999999999">
      <c r="B6" s="21"/>
    </row>
    <row r="7" spans="1:3" ht="61.8" thickBot="1" x14ac:dyDescent="0.35">
      <c r="A7" s="124" t="s">
        <v>3</v>
      </c>
      <c r="B7" s="125" t="s">
        <v>4</v>
      </c>
      <c r="C7" s="126" t="s">
        <v>5</v>
      </c>
    </row>
    <row r="8" spans="1:3" ht="138.6" x14ac:dyDescent="0.3">
      <c r="A8" s="56">
        <v>45992</v>
      </c>
      <c r="B8" s="96" t="s">
        <v>191</v>
      </c>
      <c r="C8" s="142">
        <v>7500</v>
      </c>
    </row>
    <row r="9" spans="1:3" ht="159.6" customHeight="1" x14ac:dyDescent="0.3">
      <c r="A9" s="56">
        <v>45993</v>
      </c>
      <c r="B9" s="96" t="s">
        <v>192</v>
      </c>
      <c r="C9" s="142">
        <v>2500</v>
      </c>
    </row>
    <row r="10" spans="1:3" ht="159.6" customHeight="1" x14ac:dyDescent="0.3">
      <c r="A10" s="56">
        <v>45993</v>
      </c>
      <c r="B10" s="96" t="s">
        <v>193</v>
      </c>
      <c r="C10" s="142">
        <v>2390</v>
      </c>
    </row>
    <row r="11" spans="1:3" ht="159.6" customHeight="1" x14ac:dyDescent="0.3">
      <c r="A11" s="56">
        <v>46021</v>
      </c>
      <c r="B11" s="96" t="s">
        <v>194</v>
      </c>
      <c r="C11" s="142">
        <v>260</v>
      </c>
    </row>
    <row r="12" spans="1:3" ht="159.6" customHeight="1" thickBot="1" x14ac:dyDescent="0.35">
      <c r="A12" s="56">
        <v>46021</v>
      </c>
      <c r="B12" s="96" t="s">
        <v>195</v>
      </c>
      <c r="C12" s="142">
        <v>4688</v>
      </c>
    </row>
    <row r="13" spans="1:3" ht="92.4" thickBot="1" x14ac:dyDescent="1.7">
      <c r="A13" s="56"/>
      <c r="B13" s="60"/>
      <c r="C13" s="41">
        <f>SUM(C8:C12)</f>
        <v>17338</v>
      </c>
    </row>
  </sheetData>
  <mergeCells count="1">
    <mergeCell ref="A1:C1"/>
  </mergeCells>
  <phoneticPr fontId="16" type="noConversion"/>
  <pageMargins left="0.45" right="0.2" top="1.5" bottom="0.5" header="0.3" footer="0.3"/>
  <pageSetup scale="3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1"/>
  <sheetViews>
    <sheetView view="pageBreakPreview" topLeftCell="A5" zoomScale="22" zoomScaleNormal="77" zoomScaleSheetLayoutView="22" workbookViewId="0">
      <selection activeCell="C13" sqref="C13:C20"/>
    </sheetView>
  </sheetViews>
  <sheetFormatPr defaultColWidth="56" defaultRowHeight="14.4" x14ac:dyDescent="0.3"/>
  <cols>
    <col min="1" max="1" width="50.109375" bestFit="1" customWidth="1"/>
    <col min="2" max="2" width="142.5546875" customWidth="1"/>
    <col min="3" max="3" width="53.44140625" customWidth="1"/>
  </cols>
  <sheetData>
    <row r="1" spans="1:3" ht="91.8" x14ac:dyDescent="1.65">
      <c r="A1" s="172" t="s">
        <v>202</v>
      </c>
      <c r="B1" s="172"/>
      <c r="C1" s="172"/>
    </row>
    <row r="2" spans="1:3" ht="91.8" x14ac:dyDescent="1.65">
      <c r="A2" s="38"/>
      <c r="B2" s="38"/>
      <c r="C2" s="38"/>
    </row>
    <row r="3" spans="1:3" ht="28.8" x14ac:dyDescent="0.55000000000000004">
      <c r="B3" s="1"/>
    </row>
    <row r="4" spans="1:3" ht="28.8" x14ac:dyDescent="0.55000000000000004">
      <c r="B4" s="1"/>
    </row>
    <row r="5" spans="1:3" ht="28.8" x14ac:dyDescent="0.55000000000000004">
      <c r="B5" s="1"/>
    </row>
    <row r="6" spans="1:3" ht="28.8" x14ac:dyDescent="0.55000000000000004">
      <c r="B6" s="1"/>
    </row>
    <row r="7" spans="1:3" ht="28.8" x14ac:dyDescent="0.55000000000000004">
      <c r="B7" s="1"/>
    </row>
    <row r="8" spans="1:3" ht="15" thickBot="1" x14ac:dyDescent="0.35"/>
    <row r="9" spans="1:3" ht="61.8" thickBot="1" x14ac:dyDescent="1.1499999999999999">
      <c r="A9" s="49" t="s">
        <v>0</v>
      </c>
      <c r="B9" s="51" t="s">
        <v>1</v>
      </c>
      <c r="C9" s="14" t="s">
        <v>2</v>
      </c>
    </row>
    <row r="10" spans="1:3" ht="46.2" hidden="1" x14ac:dyDescent="0.7">
      <c r="A10" s="11">
        <v>43374</v>
      </c>
      <c r="B10" s="23" t="s">
        <v>24</v>
      </c>
      <c r="C10" s="19"/>
    </row>
    <row r="11" spans="1:3" ht="92.4" hidden="1" x14ac:dyDescent="0.7">
      <c r="A11" s="11">
        <v>43405</v>
      </c>
      <c r="B11" s="27" t="s">
        <v>27</v>
      </c>
      <c r="C11" s="19"/>
    </row>
    <row r="12" spans="1:3" ht="46.2" hidden="1" x14ac:dyDescent="0.85">
      <c r="A12" s="11">
        <v>43406</v>
      </c>
      <c r="B12" s="20" t="s">
        <v>25</v>
      </c>
      <c r="C12" s="9"/>
    </row>
    <row r="13" spans="1:3" ht="183.6" x14ac:dyDescent="0.3">
      <c r="A13" s="133">
        <v>45992</v>
      </c>
      <c r="B13" s="52" t="s">
        <v>210</v>
      </c>
      <c r="C13" s="34">
        <v>4172</v>
      </c>
    </row>
    <row r="14" spans="1:3" ht="61.2" x14ac:dyDescent="0.3">
      <c r="A14" s="133">
        <v>45995</v>
      </c>
      <c r="B14" s="52" t="s">
        <v>208</v>
      </c>
      <c r="C14" s="34">
        <v>600</v>
      </c>
    </row>
    <row r="15" spans="1:3" ht="61.2" x14ac:dyDescent="0.3">
      <c r="A15" s="133">
        <v>45995</v>
      </c>
      <c r="B15" s="52" t="s">
        <v>90</v>
      </c>
      <c r="C15" s="34">
        <v>90</v>
      </c>
    </row>
    <row r="16" spans="1:3" ht="61.2" x14ac:dyDescent="0.3">
      <c r="A16" s="133">
        <v>45998</v>
      </c>
      <c r="B16" s="52" t="s">
        <v>209</v>
      </c>
      <c r="C16" s="34">
        <v>548</v>
      </c>
    </row>
    <row r="17" spans="1:3" ht="61.2" x14ac:dyDescent="0.3">
      <c r="A17" s="133">
        <v>46005</v>
      </c>
      <c r="B17" s="52" t="s">
        <v>90</v>
      </c>
      <c r="C17" s="34">
        <v>90</v>
      </c>
    </row>
    <row r="18" spans="1:3" ht="61.2" x14ac:dyDescent="0.3">
      <c r="A18" s="133">
        <v>46008</v>
      </c>
      <c r="B18" s="52" t="s">
        <v>211</v>
      </c>
      <c r="C18" s="34">
        <v>4885</v>
      </c>
    </row>
    <row r="19" spans="1:3" ht="61.2" x14ac:dyDescent="0.3">
      <c r="A19" s="133">
        <v>46011</v>
      </c>
      <c r="B19" s="52" t="s">
        <v>90</v>
      </c>
      <c r="C19" s="34">
        <v>20</v>
      </c>
    </row>
    <row r="20" spans="1:3" ht="61.8" thickBot="1" x14ac:dyDescent="0.35">
      <c r="A20" s="133">
        <v>46019</v>
      </c>
      <c r="B20" s="52" t="s">
        <v>90</v>
      </c>
      <c r="C20" s="34">
        <v>100</v>
      </c>
    </row>
    <row r="21" spans="1:3" ht="61.2" hidden="1" x14ac:dyDescent="0.85">
      <c r="A21" s="133">
        <v>46011</v>
      </c>
      <c r="B21" s="20"/>
      <c r="C21" s="7"/>
    </row>
    <row r="22" spans="1:3" ht="61.2" hidden="1" x14ac:dyDescent="0.85">
      <c r="A22" s="133">
        <v>46012</v>
      </c>
      <c r="B22" s="20"/>
      <c r="C22" s="7"/>
    </row>
    <row r="23" spans="1:3" ht="61.2" hidden="1" x14ac:dyDescent="0.85">
      <c r="A23" s="133">
        <v>46013</v>
      </c>
      <c r="B23" s="20"/>
      <c r="C23" s="7"/>
    </row>
    <row r="24" spans="1:3" ht="61.2" hidden="1" x14ac:dyDescent="0.85">
      <c r="A24" s="133">
        <v>46014</v>
      </c>
      <c r="B24" s="20"/>
      <c r="C24" s="7"/>
    </row>
    <row r="25" spans="1:3" ht="61.2" hidden="1" x14ac:dyDescent="0.85">
      <c r="A25" s="133">
        <v>46015</v>
      </c>
      <c r="B25" s="20"/>
      <c r="C25" s="7"/>
    </row>
    <row r="26" spans="1:3" ht="61.2" hidden="1" x14ac:dyDescent="0.85">
      <c r="A26" s="133">
        <v>46016</v>
      </c>
      <c r="B26" s="20"/>
      <c r="C26" s="7"/>
    </row>
    <row r="27" spans="1:3" ht="61.2" hidden="1" x14ac:dyDescent="0.85">
      <c r="A27" s="133">
        <v>46017</v>
      </c>
      <c r="B27" s="20"/>
      <c r="C27" s="7"/>
    </row>
    <row r="28" spans="1:3" ht="61.2" hidden="1" x14ac:dyDescent="0.85">
      <c r="A28" s="133">
        <v>46018</v>
      </c>
      <c r="B28" s="20"/>
      <c r="C28" s="8"/>
    </row>
    <row r="29" spans="1:3" ht="61.2" hidden="1" x14ac:dyDescent="0.85">
      <c r="A29" s="133">
        <v>46019</v>
      </c>
      <c r="B29" s="98"/>
      <c r="C29" s="58"/>
    </row>
    <row r="30" spans="1:3" ht="92.4" thickBot="1" x14ac:dyDescent="1.7">
      <c r="A30" s="173"/>
      <c r="B30" s="173"/>
      <c r="C30" s="59">
        <f>SUM(C11:C29)</f>
        <v>10505</v>
      </c>
    </row>
    <row r="49" spans="2:2" ht="61.2" x14ac:dyDescent="1.1000000000000001">
      <c r="B49" s="21"/>
    </row>
    <row r="50" spans="2:2" ht="28.8" x14ac:dyDescent="0.55000000000000004">
      <c r="B50" s="1"/>
    </row>
    <row r="51" spans="2:2" ht="28.8" x14ac:dyDescent="0.55000000000000004">
      <c r="B51" s="1"/>
    </row>
  </sheetData>
  <mergeCells count="2">
    <mergeCell ref="A1:C1"/>
    <mergeCell ref="A30:B30"/>
  </mergeCells>
  <pageMargins left="0.5" right="0" top="1.5" bottom="0.25" header="0.3" footer="0.3"/>
  <pageSetup scale="4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7"/>
  <sheetViews>
    <sheetView view="pageBreakPreview" zoomScale="24" zoomScaleNormal="80" zoomScaleSheetLayoutView="24" workbookViewId="0">
      <selection activeCell="M8" sqref="M8"/>
    </sheetView>
  </sheetViews>
  <sheetFormatPr defaultRowHeight="14.4" x14ac:dyDescent="0.3"/>
  <cols>
    <col min="1" max="1" width="38.44140625" bestFit="1" customWidth="1"/>
    <col min="2" max="2" width="90.5546875" customWidth="1"/>
    <col min="3" max="3" width="46.5546875" customWidth="1"/>
    <col min="4" max="4" width="21" customWidth="1"/>
  </cols>
  <sheetData>
    <row r="1" spans="1:4" ht="258" customHeight="1" x14ac:dyDescent="0.3">
      <c r="A1" s="171" t="s">
        <v>203</v>
      </c>
      <c r="B1" s="171"/>
      <c r="C1" s="171"/>
      <c r="D1" s="94"/>
    </row>
    <row r="2" spans="1:4" ht="258" customHeight="1" x14ac:dyDescent="0.3">
      <c r="A2" s="92"/>
      <c r="B2" s="92"/>
      <c r="C2" s="92"/>
      <c r="D2" s="94"/>
    </row>
    <row r="3" spans="1:4" ht="46.8" thickBot="1" x14ac:dyDescent="0.9">
      <c r="A3" s="2"/>
      <c r="B3" s="17"/>
    </row>
    <row r="4" spans="1:4" ht="46.8" thickBot="1" x14ac:dyDescent="0.9">
      <c r="A4" s="3" t="s">
        <v>10</v>
      </c>
      <c r="B4" s="3" t="s">
        <v>1</v>
      </c>
      <c r="C4" s="82" t="s">
        <v>5</v>
      </c>
    </row>
    <row r="5" spans="1:4" ht="61.2" hidden="1" x14ac:dyDescent="1.1000000000000001">
      <c r="A5" s="11">
        <v>43374</v>
      </c>
      <c r="B5" s="12" t="s">
        <v>26</v>
      </c>
      <c r="C5" s="24">
        <v>4200</v>
      </c>
    </row>
    <row r="6" spans="1:4" ht="61.2" hidden="1" x14ac:dyDescent="1.1000000000000001">
      <c r="A6" s="11">
        <v>43375</v>
      </c>
      <c r="B6" s="12" t="s">
        <v>23</v>
      </c>
      <c r="C6" s="24"/>
    </row>
    <row r="7" spans="1:4" ht="61.2" x14ac:dyDescent="0.3">
      <c r="A7" s="43">
        <v>45993</v>
      </c>
      <c r="B7" s="65" t="s">
        <v>179</v>
      </c>
      <c r="C7" s="39">
        <v>3510</v>
      </c>
    </row>
    <row r="8" spans="1:4" ht="61.2" x14ac:dyDescent="0.3">
      <c r="A8" s="43">
        <v>46000</v>
      </c>
      <c r="B8" s="65" t="s">
        <v>212</v>
      </c>
      <c r="C8" s="39">
        <v>480</v>
      </c>
    </row>
    <row r="9" spans="1:4" ht="61.2" x14ac:dyDescent="0.3">
      <c r="A9" s="43">
        <v>46000</v>
      </c>
      <c r="B9" s="65" t="s">
        <v>213</v>
      </c>
      <c r="C9" s="39">
        <v>630</v>
      </c>
    </row>
    <row r="10" spans="1:4" ht="61.2" x14ac:dyDescent="0.3">
      <c r="A10" s="43">
        <v>46005</v>
      </c>
      <c r="B10" s="65" t="s">
        <v>214</v>
      </c>
      <c r="C10" s="39">
        <v>500</v>
      </c>
    </row>
    <row r="11" spans="1:4" ht="61.2" x14ac:dyDescent="0.3">
      <c r="A11" s="43">
        <v>46008</v>
      </c>
      <c r="B11" s="65" t="s">
        <v>215</v>
      </c>
      <c r="C11" s="39">
        <v>1200</v>
      </c>
    </row>
    <row r="12" spans="1:4" ht="61.2" x14ac:dyDescent="0.3">
      <c r="A12" s="43">
        <v>46008</v>
      </c>
      <c r="B12" s="65" t="s">
        <v>180</v>
      </c>
      <c r="C12" s="39">
        <v>860</v>
      </c>
    </row>
    <row r="13" spans="1:4" ht="61.8" thickBot="1" x14ac:dyDescent="0.35">
      <c r="A13" s="43">
        <v>46009</v>
      </c>
      <c r="B13" s="65" t="s">
        <v>216</v>
      </c>
      <c r="C13" s="39">
        <v>400</v>
      </c>
    </row>
    <row r="14" spans="1:4" ht="61.8" hidden="1" thickBot="1" x14ac:dyDescent="0.9">
      <c r="A14" s="43">
        <v>46004</v>
      </c>
      <c r="B14" s="18"/>
      <c r="C14" s="22">
        <f>SUM(C7:C13)</f>
        <v>7580</v>
      </c>
    </row>
    <row r="15" spans="1:4" ht="61.8" hidden="1" thickBot="1" x14ac:dyDescent="0.9">
      <c r="A15" s="43">
        <v>46005</v>
      </c>
      <c r="B15" s="18"/>
      <c r="C15" s="22"/>
    </row>
    <row r="16" spans="1:4" ht="61.8" hidden="1" thickBot="1" x14ac:dyDescent="0.9">
      <c r="A16" s="43">
        <v>46006</v>
      </c>
      <c r="B16" s="18"/>
      <c r="C16" s="22"/>
    </row>
    <row r="17" spans="1:3" ht="61.8" hidden="1" thickBot="1" x14ac:dyDescent="0.9">
      <c r="A17" s="43">
        <v>46007</v>
      </c>
      <c r="B17" s="18"/>
      <c r="C17" s="22"/>
    </row>
    <row r="18" spans="1:3" ht="61.8" hidden="1" thickBot="1" x14ac:dyDescent="0.9">
      <c r="A18" s="43">
        <v>46008</v>
      </c>
      <c r="B18" s="18"/>
      <c r="C18" s="22"/>
    </row>
    <row r="19" spans="1:3" ht="61.8" hidden="1" thickBot="1" x14ac:dyDescent="0.9">
      <c r="A19" s="43">
        <v>46009</v>
      </c>
      <c r="B19" s="18"/>
      <c r="C19" s="22"/>
    </row>
    <row r="20" spans="1:3" ht="61.8" hidden="1" thickBot="1" x14ac:dyDescent="0.9">
      <c r="A20" s="43">
        <v>46010</v>
      </c>
      <c r="B20" s="18"/>
      <c r="C20" s="22"/>
    </row>
    <row r="21" spans="1:3" ht="61.8" hidden="1" thickBot="1" x14ac:dyDescent="0.9">
      <c r="A21" s="43">
        <v>46011</v>
      </c>
      <c r="B21" s="18"/>
      <c r="C21" s="22"/>
    </row>
    <row r="22" spans="1:3" ht="61.8" hidden="1" thickBot="1" x14ac:dyDescent="0.9">
      <c r="A22" s="43">
        <v>46012</v>
      </c>
      <c r="B22" s="18"/>
      <c r="C22" s="22"/>
    </row>
    <row r="23" spans="1:3" ht="61.8" hidden="1" thickBot="1" x14ac:dyDescent="0.9">
      <c r="A23" s="43">
        <v>46013</v>
      </c>
      <c r="B23" s="18"/>
      <c r="C23" s="22"/>
    </row>
    <row r="24" spans="1:3" ht="61.8" hidden="1" thickBot="1" x14ac:dyDescent="0.9">
      <c r="A24" s="43">
        <v>46014</v>
      </c>
      <c r="B24" s="18"/>
      <c r="C24" s="22"/>
    </row>
    <row r="25" spans="1:3" ht="61.8" hidden="1" thickBot="1" x14ac:dyDescent="0.9">
      <c r="A25" s="43">
        <v>46015</v>
      </c>
      <c r="B25" s="18"/>
      <c r="C25" s="22"/>
    </row>
    <row r="26" spans="1:3" ht="61.8" hidden="1" thickBot="1" x14ac:dyDescent="0.9">
      <c r="A26" s="43">
        <v>46016</v>
      </c>
      <c r="B26" s="18"/>
      <c r="C26" s="22"/>
    </row>
    <row r="27" spans="1:3" ht="61.8" hidden="1" thickBot="1" x14ac:dyDescent="0.9">
      <c r="A27" s="43">
        <v>46017</v>
      </c>
      <c r="B27" s="18"/>
      <c r="C27" s="22"/>
    </row>
    <row r="28" spans="1:3" ht="61.8" hidden="1" thickBot="1" x14ac:dyDescent="0.9">
      <c r="A28" s="43">
        <v>46018</v>
      </c>
      <c r="B28" s="18"/>
      <c r="C28" s="22"/>
    </row>
    <row r="29" spans="1:3" ht="61.8" hidden="1" thickBot="1" x14ac:dyDescent="0.9">
      <c r="A29" s="43">
        <v>46019</v>
      </c>
      <c r="B29" s="18"/>
      <c r="C29" s="22"/>
    </row>
    <row r="30" spans="1:3" ht="61.8" hidden="1" thickBot="1" x14ac:dyDescent="0.9">
      <c r="A30" s="43">
        <v>46020</v>
      </c>
      <c r="B30" s="18"/>
      <c r="C30" s="22"/>
    </row>
    <row r="31" spans="1:3" ht="61.8" hidden="1" thickBot="1" x14ac:dyDescent="0.9">
      <c r="A31" s="43">
        <v>46021</v>
      </c>
      <c r="B31" s="18"/>
      <c r="C31" s="22"/>
    </row>
    <row r="32" spans="1:3" ht="61.8" hidden="1" thickBot="1" x14ac:dyDescent="0.9">
      <c r="A32" s="43">
        <v>46022</v>
      </c>
      <c r="B32" s="18"/>
      <c r="C32" s="22"/>
    </row>
    <row r="33" spans="1:3" ht="61.8" hidden="1" thickBot="1" x14ac:dyDescent="0.9">
      <c r="A33" s="43">
        <v>46023</v>
      </c>
      <c r="B33" s="18"/>
      <c r="C33" s="22"/>
    </row>
    <row r="34" spans="1:3" ht="61.8" hidden="1" thickBot="1" x14ac:dyDescent="0.9">
      <c r="A34" s="43">
        <v>46024</v>
      </c>
      <c r="B34" s="18"/>
      <c r="C34" s="22"/>
    </row>
    <row r="35" spans="1:3" ht="61.8" hidden="1" thickBot="1" x14ac:dyDescent="0.9">
      <c r="A35" s="43">
        <v>46025</v>
      </c>
      <c r="B35" s="18"/>
      <c r="C35" s="22"/>
    </row>
    <row r="36" spans="1:3" ht="61.8" hidden="1" thickBot="1" x14ac:dyDescent="0.9">
      <c r="A36" s="43">
        <v>46026</v>
      </c>
      <c r="B36" s="18"/>
      <c r="C36" s="26"/>
    </row>
    <row r="37" spans="1:3" ht="92.4" thickBot="1" x14ac:dyDescent="1.7">
      <c r="C37" s="41">
        <f>SUM(C7:C13)</f>
        <v>7580</v>
      </c>
    </row>
  </sheetData>
  <mergeCells count="1">
    <mergeCell ref="A1:C1"/>
  </mergeCells>
  <pageMargins left="0.95" right="0.25" top="1.5" bottom="0.25" header="0.3" footer="0.3"/>
  <pageSetup scale="5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25"/>
  <sheetViews>
    <sheetView view="pageBreakPreview" topLeftCell="A16" zoomScale="19" zoomScaleNormal="78" zoomScaleSheetLayoutView="19" workbookViewId="0">
      <selection activeCell="C19" sqref="C19"/>
    </sheetView>
  </sheetViews>
  <sheetFormatPr defaultColWidth="9.33203125" defaultRowHeight="14.4" x14ac:dyDescent="0.3"/>
  <cols>
    <col min="1" max="1" width="48.109375" bestFit="1" customWidth="1"/>
    <col min="2" max="2" width="185.109375" customWidth="1"/>
    <col min="3" max="3" width="46.5546875" customWidth="1"/>
  </cols>
  <sheetData>
    <row r="1" spans="1:27" ht="183.6" x14ac:dyDescent="1.65">
      <c r="A1" s="38"/>
      <c r="B1" s="72" t="s">
        <v>204</v>
      </c>
      <c r="C1" t="s">
        <v>11</v>
      </c>
    </row>
    <row r="2" spans="1:27" ht="91.8" x14ac:dyDescent="1.65">
      <c r="A2" s="38"/>
      <c r="B2" s="72"/>
    </row>
    <row r="3" spans="1:27" ht="92.4" thickBot="1" x14ac:dyDescent="1.7">
      <c r="A3" s="38"/>
      <c r="B3" s="72"/>
    </row>
    <row r="4" spans="1:27" ht="61.8" thickBot="1" x14ac:dyDescent="1.1499999999999999">
      <c r="A4" s="49" t="s">
        <v>10</v>
      </c>
      <c r="B4" s="49" t="s">
        <v>1</v>
      </c>
      <c r="C4" s="25" t="s">
        <v>5</v>
      </c>
    </row>
    <row r="5" spans="1:27" ht="183.6" x14ac:dyDescent="0.3">
      <c r="A5" s="43">
        <v>45992</v>
      </c>
      <c r="B5" s="122" t="s">
        <v>236</v>
      </c>
      <c r="C5" s="39">
        <v>9500</v>
      </c>
      <c r="AA5" t="s">
        <v>111</v>
      </c>
    </row>
    <row r="6" spans="1:27" ht="61.2" x14ac:dyDescent="0.3">
      <c r="A6" s="43">
        <v>45993</v>
      </c>
      <c r="B6" s="122" t="s">
        <v>226</v>
      </c>
      <c r="C6" s="39">
        <v>180</v>
      </c>
    </row>
    <row r="7" spans="1:27" ht="122.4" x14ac:dyDescent="0.3">
      <c r="A7" s="43">
        <v>45994</v>
      </c>
      <c r="B7" s="122" t="s">
        <v>227</v>
      </c>
      <c r="C7" s="39">
        <v>817</v>
      </c>
    </row>
    <row r="8" spans="1:27" ht="61.2" x14ac:dyDescent="0.3">
      <c r="A8" s="43">
        <v>45994</v>
      </c>
      <c r="B8" s="122" t="s">
        <v>228</v>
      </c>
      <c r="C8" s="39">
        <v>400</v>
      </c>
    </row>
    <row r="9" spans="1:27" ht="61.2" x14ac:dyDescent="0.3">
      <c r="A9" s="43">
        <v>45997</v>
      </c>
      <c r="B9" s="122" t="s">
        <v>229</v>
      </c>
      <c r="C9" s="39">
        <v>150</v>
      </c>
    </row>
    <row r="10" spans="1:27" ht="61.2" x14ac:dyDescent="0.3">
      <c r="A10" s="43">
        <v>45998</v>
      </c>
      <c r="B10" s="122" t="s">
        <v>230</v>
      </c>
      <c r="C10" s="39">
        <v>620</v>
      </c>
    </row>
    <row r="11" spans="1:27" ht="61.2" x14ac:dyDescent="0.3">
      <c r="A11" s="43">
        <v>45999</v>
      </c>
      <c r="B11" s="52" t="s">
        <v>233</v>
      </c>
      <c r="C11" s="39">
        <v>200</v>
      </c>
    </row>
    <row r="12" spans="1:27" ht="122.4" x14ac:dyDescent="0.3">
      <c r="A12" s="43">
        <v>46002</v>
      </c>
      <c r="B12" s="122" t="s">
        <v>231</v>
      </c>
      <c r="C12" s="39">
        <v>3675</v>
      </c>
    </row>
    <row r="13" spans="1:27" ht="61.2" x14ac:dyDescent="0.3">
      <c r="A13" s="43">
        <v>46005</v>
      </c>
      <c r="B13" s="122" t="s">
        <v>232</v>
      </c>
      <c r="C13" s="39">
        <v>1200</v>
      </c>
    </row>
    <row r="14" spans="1:27" ht="61.2" x14ac:dyDescent="0.3">
      <c r="A14" s="43">
        <v>46009</v>
      </c>
      <c r="B14" s="52" t="s">
        <v>120</v>
      </c>
      <c r="C14" s="39">
        <v>500</v>
      </c>
    </row>
    <row r="15" spans="1:27" ht="61.2" x14ac:dyDescent="0.3">
      <c r="A15" s="43">
        <v>46009</v>
      </c>
      <c r="B15" s="52" t="s">
        <v>233</v>
      </c>
      <c r="C15" s="39">
        <v>250</v>
      </c>
      <c r="J15" t="s">
        <v>37</v>
      </c>
    </row>
    <row r="16" spans="1:27" ht="61.2" x14ac:dyDescent="0.3">
      <c r="A16" s="43">
        <v>46014</v>
      </c>
      <c r="B16" s="122" t="s">
        <v>234</v>
      </c>
      <c r="C16" s="39">
        <v>5000</v>
      </c>
    </row>
    <row r="17" spans="1:3" ht="61.2" x14ac:dyDescent="0.3">
      <c r="A17" s="43">
        <v>46020</v>
      </c>
      <c r="B17" s="122" t="s">
        <v>235</v>
      </c>
      <c r="C17" s="39">
        <v>445</v>
      </c>
    </row>
    <row r="18" spans="1:3" ht="122.4" x14ac:dyDescent="0.3">
      <c r="A18" s="43">
        <v>46023</v>
      </c>
      <c r="B18" s="121" t="s">
        <v>237</v>
      </c>
      <c r="C18" s="39">
        <v>350</v>
      </c>
    </row>
    <row r="19" spans="1:3" ht="123" thickBot="1" x14ac:dyDescent="0.35">
      <c r="A19" s="43">
        <v>46023</v>
      </c>
      <c r="B19" s="121" t="s">
        <v>238</v>
      </c>
      <c r="C19" s="39">
        <v>402</v>
      </c>
    </row>
    <row r="20" spans="1:3" ht="92.4" thickBot="1" x14ac:dyDescent="1.7">
      <c r="A20" s="47"/>
      <c r="C20" s="41">
        <f>SUM(C5:C19)</f>
        <v>23689</v>
      </c>
    </row>
    <row r="25" spans="1:3" x14ac:dyDescent="0.3">
      <c r="B25" t="s">
        <v>20</v>
      </c>
    </row>
  </sheetData>
  <phoneticPr fontId="16" type="noConversion"/>
  <pageMargins left="0.7" right="0.2" top="1.25" bottom="0.25" header="0.3" footer="0.3"/>
  <pageSetup scale="3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view="pageBreakPreview" topLeftCell="A7" zoomScale="33" zoomScaleNormal="50" zoomScaleSheetLayoutView="33" workbookViewId="0">
      <selection activeCell="C8" sqref="C8:C10"/>
    </sheetView>
  </sheetViews>
  <sheetFormatPr defaultRowHeight="14.4" x14ac:dyDescent="0.3"/>
  <cols>
    <col min="1" max="1" width="37.109375" customWidth="1"/>
    <col min="2" max="2" width="107.44140625" customWidth="1"/>
    <col min="3" max="3" width="39" bestFit="1" customWidth="1"/>
  </cols>
  <sheetData>
    <row r="1" spans="1:3" ht="121.2" customHeight="1" x14ac:dyDescent="0.3">
      <c r="A1" s="161" t="s">
        <v>205</v>
      </c>
      <c r="B1" s="161"/>
      <c r="C1" s="161"/>
    </row>
    <row r="2" spans="1:3" ht="61.2" x14ac:dyDescent="1.1000000000000001">
      <c r="A2" s="21"/>
      <c r="B2" s="21"/>
      <c r="C2" s="21"/>
    </row>
    <row r="3" spans="1:3" ht="61.2" x14ac:dyDescent="1.1000000000000001">
      <c r="A3" s="21"/>
      <c r="B3" s="21"/>
      <c r="C3" s="21"/>
    </row>
    <row r="4" spans="1:3" ht="61.2" x14ac:dyDescent="1.1000000000000001">
      <c r="B4" s="21"/>
    </row>
    <row r="5" spans="1:3" ht="61.2" x14ac:dyDescent="1.1000000000000001">
      <c r="B5" s="21"/>
    </row>
    <row r="6" spans="1:3" ht="61.8" thickBot="1" x14ac:dyDescent="1.1499999999999999">
      <c r="B6" s="21"/>
    </row>
    <row r="7" spans="1:3" ht="46.8" thickBot="1" x14ac:dyDescent="0.9">
      <c r="A7" s="3" t="s">
        <v>10</v>
      </c>
      <c r="B7" s="3" t="s">
        <v>1</v>
      </c>
      <c r="C7" s="82" t="s">
        <v>5</v>
      </c>
    </row>
    <row r="8" spans="1:3" ht="92.4" x14ac:dyDescent="0.3">
      <c r="A8" s="43">
        <v>45992</v>
      </c>
      <c r="B8" s="61" t="s">
        <v>181</v>
      </c>
      <c r="C8" s="39"/>
    </row>
    <row r="9" spans="1:3" ht="138.6" x14ac:dyDescent="0.3">
      <c r="A9" s="43">
        <v>45993</v>
      </c>
      <c r="B9" s="61" t="s">
        <v>182</v>
      </c>
      <c r="C9" s="39"/>
    </row>
    <row r="10" spans="1:3" ht="93" thickBot="1" x14ac:dyDescent="0.35">
      <c r="A10" s="152">
        <v>45994</v>
      </c>
      <c r="B10" s="61" t="s">
        <v>183</v>
      </c>
      <c r="C10" s="39"/>
    </row>
    <row r="11" spans="1:3" ht="92.4" thickBot="1" x14ac:dyDescent="1.7">
      <c r="A11" s="47"/>
      <c r="B11" s="16"/>
      <c r="C11" s="41">
        <f>SUM(C8:C10)</f>
        <v>0</v>
      </c>
    </row>
  </sheetData>
  <mergeCells count="1">
    <mergeCell ref="A1:C1"/>
  </mergeCells>
  <pageMargins left="0.5" right="0" top="1.75" bottom="0.25" header="0.3" footer="0.3"/>
  <pageSetup paperSize="9" scale="4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view="pageBreakPreview" zoomScale="24" zoomScaleNormal="55" zoomScaleSheetLayoutView="24" workbookViewId="0">
      <selection activeCell="H5" sqref="H5"/>
    </sheetView>
  </sheetViews>
  <sheetFormatPr defaultColWidth="98.33203125" defaultRowHeight="36.6" x14ac:dyDescent="0.7"/>
  <cols>
    <col min="1" max="1" width="34.44140625" customWidth="1"/>
    <col min="2" max="2" width="39.109375" customWidth="1"/>
    <col min="3" max="3" width="47.33203125" style="62" customWidth="1"/>
    <col min="5" max="5" width="28.6640625" style="114" customWidth="1"/>
    <col min="6" max="6" width="36.44140625" style="62" customWidth="1"/>
    <col min="7" max="7" width="41.5546875" customWidth="1"/>
  </cols>
  <sheetData>
    <row r="1" spans="1:9" ht="91.8" x14ac:dyDescent="0.3">
      <c r="A1" s="174" t="s">
        <v>187</v>
      </c>
      <c r="B1" s="174"/>
      <c r="C1" s="174"/>
      <c r="D1" s="174"/>
      <c r="E1" s="174"/>
      <c r="F1" s="174"/>
      <c r="G1" s="174"/>
    </row>
    <row r="2" spans="1:9" ht="91.8" x14ac:dyDescent="0.3">
      <c r="A2" s="115"/>
      <c r="B2" s="115"/>
      <c r="C2" s="115"/>
      <c r="D2" s="115"/>
      <c r="E2" s="115"/>
      <c r="F2" s="115"/>
      <c r="G2" s="115"/>
    </row>
    <row r="3" spans="1:9" ht="91.8" x14ac:dyDescent="0.3">
      <c r="A3" s="115"/>
      <c r="B3" s="115"/>
      <c r="C3" s="115"/>
      <c r="D3" s="115"/>
      <c r="E3" s="115"/>
      <c r="F3" s="115"/>
      <c r="G3" s="115"/>
    </row>
    <row r="4" spans="1:9" ht="92.4" thickBot="1" x14ac:dyDescent="0.35">
      <c r="A4" s="115"/>
      <c r="B4" s="115"/>
      <c r="C4" s="115"/>
      <c r="D4" s="115"/>
      <c r="E4" s="115"/>
      <c r="F4" s="115"/>
      <c r="G4" s="115"/>
    </row>
    <row r="5" spans="1:9" ht="41.4" thickBot="1" x14ac:dyDescent="0.35">
      <c r="A5" s="105" t="s">
        <v>3</v>
      </c>
      <c r="B5" s="105" t="s">
        <v>7</v>
      </c>
      <c r="C5" s="105" t="s">
        <v>53</v>
      </c>
      <c r="D5" s="105" t="s">
        <v>8</v>
      </c>
      <c r="E5" s="105" t="s">
        <v>9</v>
      </c>
      <c r="F5" s="106" t="s">
        <v>22</v>
      </c>
      <c r="G5" s="107" t="s">
        <v>19</v>
      </c>
    </row>
    <row r="6" spans="1:9" ht="73.2" x14ac:dyDescent="0.3">
      <c r="A6" s="43">
        <v>45992</v>
      </c>
      <c r="B6" s="55" t="s">
        <v>32</v>
      </c>
      <c r="C6" s="37" t="s">
        <v>31</v>
      </c>
      <c r="D6" s="37" t="s">
        <v>122</v>
      </c>
      <c r="E6" s="108" t="s">
        <v>21</v>
      </c>
      <c r="F6" s="37" t="s">
        <v>17</v>
      </c>
      <c r="G6" s="109">
        <v>260</v>
      </c>
      <c r="I6" t="s">
        <v>80</v>
      </c>
    </row>
    <row r="7" spans="1:9" ht="61.2" x14ac:dyDescent="0.3">
      <c r="A7" s="43">
        <v>45992</v>
      </c>
      <c r="B7" s="55" t="s">
        <v>70</v>
      </c>
      <c r="C7" s="37" t="s">
        <v>31</v>
      </c>
      <c r="D7" s="37" t="s">
        <v>124</v>
      </c>
      <c r="E7" s="108" t="s">
        <v>21</v>
      </c>
      <c r="F7" s="37" t="s">
        <v>17</v>
      </c>
      <c r="G7" s="109">
        <v>410</v>
      </c>
    </row>
    <row r="8" spans="1:9" ht="73.2" x14ac:dyDescent="0.3">
      <c r="A8" s="43">
        <v>45992</v>
      </c>
      <c r="B8" s="55" t="s">
        <v>56</v>
      </c>
      <c r="C8" s="37" t="s">
        <v>31</v>
      </c>
      <c r="D8" s="37" t="s">
        <v>131</v>
      </c>
      <c r="E8" s="108" t="s">
        <v>21</v>
      </c>
      <c r="F8" s="37" t="s">
        <v>17</v>
      </c>
      <c r="G8" s="109">
        <v>170</v>
      </c>
    </row>
    <row r="9" spans="1:9" ht="61.2" x14ac:dyDescent="0.3">
      <c r="A9" s="43">
        <v>45993</v>
      </c>
      <c r="B9" s="55" t="s">
        <v>32</v>
      </c>
      <c r="C9" s="37" t="s">
        <v>31</v>
      </c>
      <c r="D9" s="37" t="s">
        <v>123</v>
      </c>
      <c r="E9" s="108" t="s">
        <v>69</v>
      </c>
      <c r="F9" s="37" t="s">
        <v>17</v>
      </c>
      <c r="G9" s="109">
        <v>170</v>
      </c>
    </row>
    <row r="10" spans="1:9" ht="81" customHeight="1" x14ac:dyDescent="0.3">
      <c r="A10" s="43">
        <v>45993</v>
      </c>
      <c r="B10" s="55" t="s">
        <v>56</v>
      </c>
      <c r="C10" s="37" t="s">
        <v>31</v>
      </c>
      <c r="D10" s="37" t="s">
        <v>58</v>
      </c>
      <c r="E10" s="108" t="s">
        <v>21</v>
      </c>
      <c r="F10" s="37" t="s">
        <v>17</v>
      </c>
      <c r="G10" s="109">
        <v>210</v>
      </c>
      <c r="I10" t="s">
        <v>20</v>
      </c>
    </row>
    <row r="11" spans="1:9" ht="81" customHeight="1" x14ac:dyDescent="0.3">
      <c r="A11" s="43">
        <v>45993</v>
      </c>
      <c r="B11" s="55" t="s">
        <v>70</v>
      </c>
      <c r="C11" s="37" t="s">
        <v>31</v>
      </c>
      <c r="D11" s="37" t="s">
        <v>124</v>
      </c>
      <c r="E11" s="108" t="s">
        <v>68</v>
      </c>
      <c r="F11" s="37" t="s">
        <v>17</v>
      </c>
      <c r="G11" s="109">
        <v>510</v>
      </c>
    </row>
    <row r="12" spans="1:9" ht="93.6" customHeight="1" x14ac:dyDescent="0.3">
      <c r="A12" s="43">
        <v>45994</v>
      </c>
      <c r="B12" s="55" t="s">
        <v>32</v>
      </c>
      <c r="C12" s="37" t="s">
        <v>31</v>
      </c>
      <c r="D12" s="37" t="s">
        <v>125</v>
      </c>
      <c r="E12" s="108" t="s">
        <v>68</v>
      </c>
      <c r="F12" s="37" t="s">
        <v>17</v>
      </c>
      <c r="G12" s="109">
        <v>300</v>
      </c>
    </row>
    <row r="13" spans="1:9" ht="103.95" customHeight="1" x14ac:dyDescent="0.3">
      <c r="A13" s="43">
        <v>45995</v>
      </c>
      <c r="B13" s="55" t="s">
        <v>16</v>
      </c>
      <c r="C13" s="37" t="s">
        <v>31</v>
      </c>
      <c r="D13" s="37" t="s">
        <v>127</v>
      </c>
      <c r="E13" s="108" t="s">
        <v>126</v>
      </c>
      <c r="F13" s="37" t="s">
        <v>17</v>
      </c>
      <c r="G13" s="109">
        <v>430</v>
      </c>
    </row>
    <row r="14" spans="1:9" ht="61.2" x14ac:dyDescent="0.3">
      <c r="A14" s="43">
        <v>45995</v>
      </c>
      <c r="B14" s="55" t="s">
        <v>54</v>
      </c>
      <c r="C14" s="37" t="s">
        <v>31</v>
      </c>
      <c r="D14" s="37" t="s">
        <v>114</v>
      </c>
      <c r="E14" s="108" t="s">
        <v>128</v>
      </c>
      <c r="F14" s="37" t="s">
        <v>17</v>
      </c>
      <c r="G14" s="109">
        <v>140</v>
      </c>
    </row>
    <row r="15" spans="1:9" ht="73.2" x14ac:dyDescent="0.3">
      <c r="A15" s="43">
        <v>45995</v>
      </c>
      <c r="B15" s="55" t="s">
        <v>70</v>
      </c>
      <c r="C15" s="37" t="s">
        <v>31</v>
      </c>
      <c r="D15" s="37" t="s">
        <v>129</v>
      </c>
      <c r="E15" s="108" t="s">
        <v>84</v>
      </c>
      <c r="F15" s="37" t="s">
        <v>17</v>
      </c>
      <c r="G15" s="109">
        <v>350</v>
      </c>
    </row>
    <row r="16" spans="1:9" ht="61.2" x14ac:dyDescent="0.3">
      <c r="A16" s="43">
        <v>45997</v>
      </c>
      <c r="B16" s="55" t="s">
        <v>32</v>
      </c>
      <c r="C16" s="37" t="s">
        <v>31</v>
      </c>
      <c r="D16" s="37" t="s">
        <v>130</v>
      </c>
      <c r="E16" s="108" t="s">
        <v>57</v>
      </c>
      <c r="F16" s="37" t="s">
        <v>17</v>
      </c>
      <c r="G16" s="109">
        <v>120</v>
      </c>
    </row>
    <row r="17" spans="1:7" ht="105.6" customHeight="1" x14ac:dyDescent="0.3">
      <c r="A17" s="43">
        <v>45997</v>
      </c>
      <c r="B17" s="55" t="s">
        <v>56</v>
      </c>
      <c r="C17" s="37" t="s">
        <v>31</v>
      </c>
      <c r="D17" s="37" t="s">
        <v>131</v>
      </c>
      <c r="E17" s="108" t="s">
        <v>57</v>
      </c>
      <c r="F17" s="37" t="s">
        <v>17</v>
      </c>
      <c r="G17" s="109">
        <v>710</v>
      </c>
    </row>
    <row r="18" spans="1:7" ht="61.2" x14ac:dyDescent="0.3">
      <c r="A18" s="43">
        <v>45998</v>
      </c>
      <c r="B18" s="55" t="s">
        <v>70</v>
      </c>
      <c r="C18" s="37" t="s">
        <v>31</v>
      </c>
      <c r="D18" s="37" t="s">
        <v>112</v>
      </c>
      <c r="E18" s="108" t="s">
        <v>69</v>
      </c>
      <c r="F18" s="37" t="s">
        <v>17</v>
      </c>
      <c r="G18" s="109">
        <v>180</v>
      </c>
    </row>
    <row r="19" spans="1:7" ht="61.2" x14ac:dyDescent="0.3">
      <c r="A19" s="43">
        <v>45998</v>
      </c>
      <c r="B19" s="55" t="s">
        <v>56</v>
      </c>
      <c r="C19" s="37" t="s">
        <v>31</v>
      </c>
      <c r="D19" s="37" t="s">
        <v>132</v>
      </c>
      <c r="E19" s="108" t="s">
        <v>21</v>
      </c>
      <c r="F19" s="37" t="s">
        <v>17</v>
      </c>
      <c r="G19" s="109">
        <v>560</v>
      </c>
    </row>
    <row r="20" spans="1:7" ht="73.2" x14ac:dyDescent="0.3">
      <c r="A20" s="43">
        <v>45998</v>
      </c>
      <c r="B20" s="55" t="s">
        <v>70</v>
      </c>
      <c r="C20" s="37" t="s">
        <v>31</v>
      </c>
      <c r="D20" s="37" t="s">
        <v>133</v>
      </c>
      <c r="E20" s="108" t="s">
        <v>21</v>
      </c>
      <c r="F20" s="37" t="s">
        <v>17</v>
      </c>
      <c r="G20" s="109">
        <v>140</v>
      </c>
    </row>
    <row r="21" spans="1:7" ht="99" customHeight="1" x14ac:dyDescent="0.3">
      <c r="A21" s="43">
        <v>45998</v>
      </c>
      <c r="B21" s="55" t="s">
        <v>16</v>
      </c>
      <c r="C21" s="37" t="s">
        <v>31</v>
      </c>
      <c r="D21" s="37" t="s">
        <v>112</v>
      </c>
      <c r="E21" s="108" t="s">
        <v>21</v>
      </c>
      <c r="F21" s="37" t="s">
        <v>17</v>
      </c>
      <c r="G21" s="109">
        <v>310</v>
      </c>
    </row>
    <row r="22" spans="1:7" ht="61.2" x14ac:dyDescent="0.3">
      <c r="A22" s="43">
        <v>45999</v>
      </c>
      <c r="B22" s="55" t="s">
        <v>70</v>
      </c>
      <c r="C22" s="37" t="s">
        <v>31</v>
      </c>
      <c r="D22" s="37" t="s">
        <v>135</v>
      </c>
      <c r="E22" s="108" t="s">
        <v>21</v>
      </c>
      <c r="F22" s="37" t="s">
        <v>17</v>
      </c>
      <c r="G22" s="109">
        <v>410</v>
      </c>
    </row>
    <row r="23" spans="1:7" ht="96" customHeight="1" x14ac:dyDescent="0.3">
      <c r="A23" s="43">
        <v>45999</v>
      </c>
      <c r="B23" s="55" t="s">
        <v>32</v>
      </c>
      <c r="C23" s="37" t="s">
        <v>31</v>
      </c>
      <c r="D23" s="37" t="s">
        <v>134</v>
      </c>
      <c r="E23" s="108" t="s">
        <v>60</v>
      </c>
      <c r="F23" s="37" t="s">
        <v>17</v>
      </c>
      <c r="G23" s="109">
        <v>470</v>
      </c>
    </row>
    <row r="24" spans="1:7" ht="73.2" x14ac:dyDescent="0.3">
      <c r="A24" s="43">
        <v>46000</v>
      </c>
      <c r="B24" s="134" t="s">
        <v>16</v>
      </c>
      <c r="C24" s="37" t="s">
        <v>31</v>
      </c>
      <c r="D24" s="37" t="s">
        <v>137</v>
      </c>
      <c r="E24" s="108" t="s">
        <v>21</v>
      </c>
      <c r="F24" s="37" t="s">
        <v>17</v>
      </c>
      <c r="G24" s="135">
        <v>460</v>
      </c>
    </row>
    <row r="25" spans="1:7" ht="110.4" customHeight="1" x14ac:dyDescent="0.3">
      <c r="A25" s="43">
        <v>46000</v>
      </c>
      <c r="B25" s="55" t="s">
        <v>136</v>
      </c>
      <c r="C25" s="37" t="s">
        <v>140</v>
      </c>
      <c r="D25" s="37" t="s">
        <v>138</v>
      </c>
      <c r="E25" s="108" t="s">
        <v>21</v>
      </c>
      <c r="F25" s="37" t="s">
        <v>17</v>
      </c>
      <c r="G25" s="109">
        <v>550</v>
      </c>
    </row>
    <row r="26" spans="1:7" ht="78" customHeight="1" x14ac:dyDescent="0.3">
      <c r="A26" s="43">
        <v>46000</v>
      </c>
      <c r="B26" s="55" t="s">
        <v>16</v>
      </c>
      <c r="C26" s="37" t="s">
        <v>31</v>
      </c>
      <c r="D26" s="37" t="s">
        <v>141</v>
      </c>
      <c r="E26" s="108" t="s">
        <v>85</v>
      </c>
      <c r="F26" s="37" t="s">
        <v>17</v>
      </c>
      <c r="G26" s="109">
        <v>330</v>
      </c>
    </row>
    <row r="27" spans="1:7" ht="113.4" customHeight="1" x14ac:dyDescent="0.3">
      <c r="A27" s="43">
        <v>46001</v>
      </c>
      <c r="B27" s="55" t="s">
        <v>136</v>
      </c>
      <c r="C27" s="37" t="s">
        <v>140</v>
      </c>
      <c r="D27" s="37" t="s">
        <v>142</v>
      </c>
      <c r="E27" s="108" t="s">
        <v>69</v>
      </c>
      <c r="F27" s="37" t="s">
        <v>17</v>
      </c>
      <c r="G27" s="109">
        <v>350</v>
      </c>
    </row>
    <row r="28" spans="1:7" ht="113.4" customHeight="1" x14ac:dyDescent="0.3">
      <c r="A28" s="43">
        <v>46001</v>
      </c>
      <c r="B28" s="55" t="s">
        <v>185</v>
      </c>
      <c r="C28" s="37" t="s">
        <v>186</v>
      </c>
      <c r="D28" s="37" t="s">
        <v>114</v>
      </c>
      <c r="E28" s="108" t="s">
        <v>69</v>
      </c>
      <c r="F28" s="37" t="s">
        <v>17</v>
      </c>
      <c r="G28" s="109">
        <v>340</v>
      </c>
    </row>
    <row r="29" spans="1:7" ht="113.4" customHeight="1" x14ac:dyDescent="0.3">
      <c r="A29" s="43">
        <v>46001</v>
      </c>
      <c r="B29" s="55" t="s">
        <v>32</v>
      </c>
      <c r="C29" s="37" t="s">
        <v>31</v>
      </c>
      <c r="D29" s="37" t="s">
        <v>143</v>
      </c>
      <c r="E29" s="108" t="s">
        <v>86</v>
      </c>
      <c r="F29" s="37" t="s">
        <v>17</v>
      </c>
      <c r="G29" s="109">
        <v>310</v>
      </c>
    </row>
    <row r="30" spans="1:7" ht="113.4" customHeight="1" x14ac:dyDescent="0.3">
      <c r="A30" s="43">
        <v>46002</v>
      </c>
      <c r="B30" s="55" t="s">
        <v>16</v>
      </c>
      <c r="C30" s="37" t="s">
        <v>139</v>
      </c>
      <c r="D30" s="37" t="s">
        <v>144</v>
      </c>
      <c r="E30" s="108" t="s">
        <v>86</v>
      </c>
      <c r="F30" s="37" t="s">
        <v>17</v>
      </c>
      <c r="G30" s="109">
        <v>260</v>
      </c>
    </row>
    <row r="31" spans="1:7" ht="96" customHeight="1" x14ac:dyDescent="0.3">
      <c r="A31" s="43">
        <v>46002</v>
      </c>
      <c r="B31" s="55" t="s">
        <v>16</v>
      </c>
      <c r="C31" s="37" t="s">
        <v>31</v>
      </c>
      <c r="D31" s="37" t="s">
        <v>145</v>
      </c>
      <c r="E31" s="108" t="s">
        <v>69</v>
      </c>
      <c r="F31" s="37" t="s">
        <v>17</v>
      </c>
      <c r="G31" s="109">
        <v>220</v>
      </c>
    </row>
    <row r="32" spans="1:7" ht="61.2" x14ac:dyDescent="0.3">
      <c r="A32" s="43">
        <v>46002</v>
      </c>
      <c r="B32" s="55" t="s">
        <v>32</v>
      </c>
      <c r="C32" s="37" t="s">
        <v>31</v>
      </c>
      <c r="D32" s="37" t="s">
        <v>146</v>
      </c>
      <c r="E32" s="108" t="s">
        <v>69</v>
      </c>
      <c r="F32" s="37" t="s">
        <v>17</v>
      </c>
      <c r="G32" s="109">
        <v>230</v>
      </c>
    </row>
    <row r="33" spans="1:9" ht="73.2" x14ac:dyDescent="0.3">
      <c r="A33" s="43">
        <v>46002</v>
      </c>
      <c r="B33" s="55" t="s">
        <v>70</v>
      </c>
      <c r="C33" s="37" t="s">
        <v>31</v>
      </c>
      <c r="D33" s="37" t="s">
        <v>147</v>
      </c>
      <c r="E33" s="108" t="s">
        <v>21</v>
      </c>
      <c r="F33" s="37" t="s">
        <v>17</v>
      </c>
      <c r="G33" s="109">
        <v>320</v>
      </c>
    </row>
    <row r="34" spans="1:9" ht="74.25" customHeight="1" x14ac:dyDescent="0.3">
      <c r="A34" s="43">
        <v>46004</v>
      </c>
      <c r="B34" s="55" t="s">
        <v>70</v>
      </c>
      <c r="C34" s="37" t="s">
        <v>31</v>
      </c>
      <c r="D34" s="37" t="s">
        <v>148</v>
      </c>
      <c r="E34" s="108" t="s">
        <v>21</v>
      </c>
      <c r="F34" s="37" t="s">
        <v>17</v>
      </c>
      <c r="G34" s="109">
        <v>120</v>
      </c>
    </row>
    <row r="35" spans="1:9" ht="108.6" customHeight="1" x14ac:dyDescent="0.3">
      <c r="A35" s="43">
        <v>46005</v>
      </c>
      <c r="B35" s="55" t="s">
        <v>16</v>
      </c>
      <c r="C35" s="37" t="s">
        <v>31</v>
      </c>
      <c r="D35" s="37" t="s">
        <v>151</v>
      </c>
      <c r="E35" s="108" t="s">
        <v>150</v>
      </c>
      <c r="F35" s="37" t="s">
        <v>17</v>
      </c>
      <c r="G35" s="109">
        <v>470</v>
      </c>
    </row>
    <row r="36" spans="1:9" ht="84.75" customHeight="1" x14ac:dyDescent="0.3">
      <c r="A36" s="43">
        <v>46006</v>
      </c>
      <c r="B36" s="55" t="s">
        <v>70</v>
      </c>
      <c r="C36" s="37" t="s">
        <v>31</v>
      </c>
      <c r="D36" s="37" t="s">
        <v>152</v>
      </c>
      <c r="E36" s="108" t="s">
        <v>21</v>
      </c>
      <c r="F36" s="37" t="s">
        <v>17</v>
      </c>
      <c r="G36" s="109">
        <v>320</v>
      </c>
    </row>
    <row r="37" spans="1:9" ht="88.2" customHeight="1" x14ac:dyDescent="0.3">
      <c r="A37" s="43">
        <v>46008</v>
      </c>
      <c r="B37" s="55" t="s">
        <v>56</v>
      </c>
      <c r="C37" s="37" t="s">
        <v>31</v>
      </c>
      <c r="D37" s="37" t="s">
        <v>155</v>
      </c>
      <c r="E37" s="108" t="s">
        <v>154</v>
      </c>
      <c r="F37" s="37" t="s">
        <v>17</v>
      </c>
      <c r="G37" s="109">
        <v>100</v>
      </c>
    </row>
    <row r="38" spans="1:9" ht="90.6" customHeight="1" x14ac:dyDescent="0.3">
      <c r="A38" s="43">
        <v>46008</v>
      </c>
      <c r="B38" s="55" t="s">
        <v>70</v>
      </c>
      <c r="C38" s="37" t="s">
        <v>31</v>
      </c>
      <c r="D38" s="37" t="s">
        <v>156</v>
      </c>
      <c r="E38" s="108" t="s">
        <v>21</v>
      </c>
      <c r="F38" s="37" t="s">
        <v>17</v>
      </c>
      <c r="G38" s="109">
        <v>470</v>
      </c>
    </row>
    <row r="39" spans="1:9" ht="61.2" x14ac:dyDescent="0.3">
      <c r="A39" s="43">
        <v>46009</v>
      </c>
      <c r="B39" s="55" t="s">
        <v>54</v>
      </c>
      <c r="C39" s="37" t="s">
        <v>31</v>
      </c>
      <c r="D39" s="37" t="s">
        <v>83</v>
      </c>
      <c r="E39" s="108" t="s">
        <v>21</v>
      </c>
      <c r="F39" s="37" t="s">
        <v>17</v>
      </c>
      <c r="G39" s="109">
        <v>120</v>
      </c>
    </row>
    <row r="40" spans="1:9" ht="115.95" customHeight="1" x14ac:dyDescent="0.3">
      <c r="A40" s="43">
        <v>46009</v>
      </c>
      <c r="B40" s="55" t="s">
        <v>70</v>
      </c>
      <c r="C40" s="37" t="s">
        <v>31</v>
      </c>
      <c r="D40" s="37" t="s">
        <v>87</v>
      </c>
      <c r="E40" s="108" t="s">
        <v>21</v>
      </c>
      <c r="F40" s="37" t="s">
        <v>17</v>
      </c>
      <c r="G40" s="109">
        <v>490</v>
      </c>
    </row>
    <row r="41" spans="1:9" ht="61.2" x14ac:dyDescent="0.3">
      <c r="A41" s="43">
        <v>46009</v>
      </c>
      <c r="B41" s="55" t="s">
        <v>188</v>
      </c>
      <c r="C41" s="37" t="s">
        <v>189</v>
      </c>
      <c r="D41" s="37" t="s">
        <v>159</v>
      </c>
      <c r="E41" s="108" t="s">
        <v>160</v>
      </c>
      <c r="F41" s="37" t="s">
        <v>17</v>
      </c>
      <c r="G41" s="109">
        <v>668</v>
      </c>
    </row>
    <row r="42" spans="1:9" ht="92.4" x14ac:dyDescent="0.3">
      <c r="A42" s="43">
        <v>46009</v>
      </c>
      <c r="B42" s="55" t="s">
        <v>158</v>
      </c>
      <c r="C42" s="37" t="s">
        <v>157</v>
      </c>
      <c r="D42" s="37" t="s">
        <v>161</v>
      </c>
      <c r="E42" s="108" t="s">
        <v>160</v>
      </c>
      <c r="F42" s="37" t="s">
        <v>17</v>
      </c>
      <c r="G42" s="109">
        <v>290</v>
      </c>
      <c r="I42" t="s">
        <v>61</v>
      </c>
    </row>
    <row r="43" spans="1:9" ht="85.95" customHeight="1" x14ac:dyDescent="0.3">
      <c r="A43" s="43">
        <v>46009</v>
      </c>
      <c r="B43" s="55" t="s">
        <v>32</v>
      </c>
      <c r="C43" s="37" t="s">
        <v>31</v>
      </c>
      <c r="D43" s="37" t="s">
        <v>162</v>
      </c>
      <c r="E43" s="108" t="s">
        <v>21</v>
      </c>
      <c r="F43" s="37" t="s">
        <v>17</v>
      </c>
      <c r="G43" s="109">
        <v>770</v>
      </c>
    </row>
    <row r="44" spans="1:9" ht="61.2" x14ac:dyDescent="0.3">
      <c r="A44" s="43">
        <v>46011</v>
      </c>
      <c r="B44" s="55" t="s">
        <v>16</v>
      </c>
      <c r="C44" s="37" t="s">
        <v>31</v>
      </c>
      <c r="D44" s="37" t="s">
        <v>113</v>
      </c>
      <c r="E44" s="108" t="s">
        <v>21</v>
      </c>
      <c r="F44" s="37" t="s">
        <v>17</v>
      </c>
      <c r="G44" s="109">
        <v>300</v>
      </c>
    </row>
    <row r="45" spans="1:9" ht="73.2" x14ac:dyDescent="0.3">
      <c r="A45" s="43">
        <v>46011</v>
      </c>
      <c r="B45" s="55" t="s">
        <v>56</v>
      </c>
      <c r="C45" s="37" t="s">
        <v>31</v>
      </c>
      <c r="D45" s="37" t="s">
        <v>87</v>
      </c>
      <c r="E45" s="108" t="s">
        <v>21</v>
      </c>
      <c r="F45" s="37" t="s">
        <v>17</v>
      </c>
      <c r="G45" s="109">
        <v>120</v>
      </c>
    </row>
    <row r="46" spans="1:9" ht="71.400000000000006" customHeight="1" x14ac:dyDescent="0.3">
      <c r="A46" s="43">
        <v>46012</v>
      </c>
      <c r="B46" s="55" t="s">
        <v>70</v>
      </c>
      <c r="C46" s="37" t="s">
        <v>31</v>
      </c>
      <c r="D46" s="37" t="s">
        <v>163</v>
      </c>
      <c r="E46" s="108" t="s">
        <v>21</v>
      </c>
      <c r="F46" s="37" t="s">
        <v>17</v>
      </c>
      <c r="G46" s="109">
        <v>220</v>
      </c>
    </row>
    <row r="47" spans="1:9" ht="73.2" x14ac:dyDescent="0.3">
      <c r="A47" s="43">
        <v>46012</v>
      </c>
      <c r="B47" s="55" t="s">
        <v>70</v>
      </c>
      <c r="C47" s="37" t="s">
        <v>31</v>
      </c>
      <c r="D47" s="37" t="s">
        <v>164</v>
      </c>
      <c r="E47" s="108" t="s">
        <v>21</v>
      </c>
      <c r="F47" s="37" t="s">
        <v>17</v>
      </c>
      <c r="G47" s="109">
        <v>470</v>
      </c>
    </row>
    <row r="48" spans="1:9" ht="73.2" x14ac:dyDescent="0.3">
      <c r="A48" s="43">
        <v>46012</v>
      </c>
      <c r="B48" s="55" t="s">
        <v>16</v>
      </c>
      <c r="C48" s="37" t="s">
        <v>31</v>
      </c>
      <c r="D48" s="37" t="s">
        <v>165</v>
      </c>
      <c r="E48" s="108" t="s">
        <v>115</v>
      </c>
      <c r="F48" s="37" t="s">
        <v>17</v>
      </c>
      <c r="G48" s="110">
        <v>190</v>
      </c>
    </row>
    <row r="49" spans="1:7" ht="73.2" x14ac:dyDescent="0.3">
      <c r="A49" s="43">
        <v>46013</v>
      </c>
      <c r="B49" s="55" t="s">
        <v>32</v>
      </c>
      <c r="C49" s="37" t="s">
        <v>31</v>
      </c>
      <c r="D49" s="37" t="s">
        <v>104</v>
      </c>
      <c r="E49" s="108" t="s">
        <v>115</v>
      </c>
      <c r="F49" s="37" t="s">
        <v>17</v>
      </c>
      <c r="G49" s="111">
        <v>260</v>
      </c>
    </row>
    <row r="50" spans="1:7" ht="73.2" x14ac:dyDescent="0.3">
      <c r="A50" s="43">
        <v>46014</v>
      </c>
      <c r="B50" s="55" t="s">
        <v>16</v>
      </c>
      <c r="C50" s="37" t="s">
        <v>140</v>
      </c>
      <c r="D50" s="37" t="s">
        <v>166</v>
      </c>
      <c r="E50" s="108" t="s">
        <v>167</v>
      </c>
      <c r="F50" s="37" t="s">
        <v>17</v>
      </c>
      <c r="G50" s="111">
        <v>220</v>
      </c>
    </row>
    <row r="51" spans="1:7" ht="69" customHeight="1" x14ac:dyDescent="0.3">
      <c r="A51" s="43">
        <v>46014</v>
      </c>
      <c r="B51" s="55" t="s">
        <v>118</v>
      </c>
      <c r="C51" s="37" t="s">
        <v>119</v>
      </c>
      <c r="D51" s="37" t="s">
        <v>62</v>
      </c>
      <c r="E51" s="108" t="s">
        <v>21</v>
      </c>
      <c r="F51" s="37" t="s">
        <v>17</v>
      </c>
      <c r="G51" s="111">
        <v>140</v>
      </c>
    </row>
    <row r="52" spans="1:7" ht="76.2" customHeight="1" x14ac:dyDescent="0.3">
      <c r="A52" s="43">
        <v>46015</v>
      </c>
      <c r="B52" s="55" t="s">
        <v>70</v>
      </c>
      <c r="C52" s="37" t="s">
        <v>31</v>
      </c>
      <c r="D52" s="37" t="s">
        <v>168</v>
      </c>
      <c r="E52" s="108" t="s">
        <v>21</v>
      </c>
      <c r="F52" s="37" t="s">
        <v>17</v>
      </c>
      <c r="G52" s="111">
        <v>470</v>
      </c>
    </row>
    <row r="53" spans="1:7" ht="61.2" x14ac:dyDescent="0.3">
      <c r="A53" s="43">
        <v>46015</v>
      </c>
      <c r="B53" s="55" t="s">
        <v>32</v>
      </c>
      <c r="C53" s="37" t="s">
        <v>31</v>
      </c>
      <c r="D53" s="37" t="s">
        <v>104</v>
      </c>
      <c r="E53" s="108" t="s">
        <v>21</v>
      </c>
      <c r="F53" s="37" t="s">
        <v>17</v>
      </c>
      <c r="G53" s="109">
        <v>190</v>
      </c>
    </row>
    <row r="54" spans="1:7" ht="88.8" customHeight="1" x14ac:dyDescent="0.3">
      <c r="A54" s="43">
        <v>46015</v>
      </c>
      <c r="B54" s="55" t="s">
        <v>190</v>
      </c>
      <c r="C54" s="37" t="s">
        <v>31</v>
      </c>
      <c r="D54" s="37" t="s">
        <v>169</v>
      </c>
      <c r="E54" s="108" t="s">
        <v>21</v>
      </c>
      <c r="F54" s="37" t="s">
        <v>17</v>
      </c>
      <c r="G54" s="109">
        <v>280</v>
      </c>
    </row>
    <row r="55" spans="1:7" ht="85.95" customHeight="1" x14ac:dyDescent="0.3">
      <c r="A55" s="43">
        <v>46015</v>
      </c>
      <c r="B55" s="55" t="s">
        <v>70</v>
      </c>
      <c r="C55" s="37" t="s">
        <v>31</v>
      </c>
      <c r="D55" s="37" t="s">
        <v>170</v>
      </c>
      <c r="E55" s="108" t="s">
        <v>21</v>
      </c>
      <c r="F55" s="37" t="s">
        <v>17</v>
      </c>
      <c r="G55" s="109">
        <v>390</v>
      </c>
    </row>
    <row r="56" spans="1:7" ht="81" customHeight="1" x14ac:dyDescent="0.3">
      <c r="A56" s="43">
        <v>46016</v>
      </c>
      <c r="B56" s="55" t="s">
        <v>16</v>
      </c>
      <c r="C56" s="37" t="s">
        <v>31</v>
      </c>
      <c r="D56" s="37" t="s">
        <v>55</v>
      </c>
      <c r="E56" s="108" t="s">
        <v>57</v>
      </c>
      <c r="F56" s="37" t="s">
        <v>17</v>
      </c>
      <c r="G56" s="109">
        <v>320</v>
      </c>
    </row>
    <row r="57" spans="1:7" ht="61.2" x14ac:dyDescent="0.3">
      <c r="A57" s="43">
        <v>46018</v>
      </c>
      <c r="B57" s="55" t="s">
        <v>16</v>
      </c>
      <c r="C57" s="37" t="s">
        <v>31</v>
      </c>
      <c r="D57" s="37" t="s">
        <v>171</v>
      </c>
      <c r="E57" s="108" t="s">
        <v>69</v>
      </c>
      <c r="F57" s="37" t="s">
        <v>17</v>
      </c>
      <c r="G57" s="109">
        <v>120</v>
      </c>
    </row>
    <row r="58" spans="1:7" ht="61.2" x14ac:dyDescent="0.3">
      <c r="A58" s="43">
        <v>46019</v>
      </c>
      <c r="B58" s="55" t="s">
        <v>56</v>
      </c>
      <c r="C58" s="37" t="s">
        <v>31</v>
      </c>
      <c r="D58" s="37" t="s">
        <v>116</v>
      </c>
      <c r="E58" s="108" t="s">
        <v>21</v>
      </c>
      <c r="F58" s="37" t="s">
        <v>17</v>
      </c>
      <c r="G58" s="109">
        <v>470</v>
      </c>
    </row>
    <row r="59" spans="1:7" ht="73.2" x14ac:dyDescent="0.3">
      <c r="A59" s="43">
        <v>46019</v>
      </c>
      <c r="B59" s="55" t="s">
        <v>56</v>
      </c>
      <c r="C59" s="37" t="s">
        <v>31</v>
      </c>
      <c r="D59" s="37" t="s">
        <v>172</v>
      </c>
      <c r="E59" s="108" t="s">
        <v>51</v>
      </c>
      <c r="F59" s="37" t="s">
        <v>17</v>
      </c>
      <c r="G59" s="109">
        <v>330</v>
      </c>
    </row>
    <row r="60" spans="1:7" ht="73.2" x14ac:dyDescent="0.3">
      <c r="A60" s="43">
        <v>46020</v>
      </c>
      <c r="B60" s="55" t="s">
        <v>70</v>
      </c>
      <c r="C60" s="37" t="s">
        <v>31</v>
      </c>
      <c r="D60" s="37" t="s">
        <v>163</v>
      </c>
      <c r="E60" s="108" t="s">
        <v>21</v>
      </c>
      <c r="F60" s="37" t="s">
        <v>17</v>
      </c>
      <c r="G60" s="109">
        <v>300</v>
      </c>
    </row>
    <row r="61" spans="1:7" ht="73.2" x14ac:dyDescent="0.3">
      <c r="A61" s="43">
        <v>46020</v>
      </c>
      <c r="B61" s="55" t="s">
        <v>32</v>
      </c>
      <c r="C61" s="37" t="s">
        <v>31</v>
      </c>
      <c r="D61" s="37" t="s">
        <v>173</v>
      </c>
      <c r="E61" s="108" t="s">
        <v>117</v>
      </c>
      <c r="F61" s="37" t="s">
        <v>17</v>
      </c>
      <c r="G61" s="109">
        <v>590</v>
      </c>
    </row>
    <row r="62" spans="1:7" ht="61.2" x14ac:dyDescent="0.3">
      <c r="A62" s="43">
        <v>46020</v>
      </c>
      <c r="B62" s="55" t="s">
        <v>56</v>
      </c>
      <c r="C62" s="37" t="s">
        <v>31</v>
      </c>
      <c r="D62" s="37" t="s">
        <v>174</v>
      </c>
      <c r="E62" s="108" t="s">
        <v>21</v>
      </c>
      <c r="F62" s="37" t="s">
        <v>17</v>
      </c>
      <c r="G62" s="109">
        <v>200</v>
      </c>
    </row>
    <row r="63" spans="1:7" ht="61.2" x14ac:dyDescent="0.3">
      <c r="A63" s="43">
        <v>46021</v>
      </c>
      <c r="B63" s="55" t="s">
        <v>32</v>
      </c>
      <c r="C63" s="37" t="s">
        <v>31</v>
      </c>
      <c r="D63" s="37" t="s">
        <v>59</v>
      </c>
      <c r="E63" s="108" t="s">
        <v>21</v>
      </c>
      <c r="F63" s="37" t="s">
        <v>17</v>
      </c>
      <c r="G63" s="109">
        <v>290</v>
      </c>
    </row>
    <row r="64" spans="1:7" ht="61.2" x14ac:dyDescent="0.3">
      <c r="A64" s="43">
        <v>46021</v>
      </c>
      <c r="B64" s="55" t="s">
        <v>32</v>
      </c>
      <c r="C64" s="37" t="s">
        <v>31</v>
      </c>
      <c r="D64" s="37" t="s">
        <v>175</v>
      </c>
      <c r="E64" s="108" t="s">
        <v>91</v>
      </c>
      <c r="F64" s="37" t="s">
        <v>17</v>
      </c>
      <c r="G64" s="109">
        <v>300</v>
      </c>
    </row>
    <row r="65" spans="1:7" ht="73.2" x14ac:dyDescent="0.3">
      <c r="A65" s="43">
        <v>46021</v>
      </c>
      <c r="B65" s="55" t="s">
        <v>54</v>
      </c>
      <c r="C65" s="61" t="s">
        <v>31</v>
      </c>
      <c r="D65" s="37" t="s">
        <v>148</v>
      </c>
      <c r="E65" s="108" t="s">
        <v>21</v>
      </c>
      <c r="F65" s="37" t="s">
        <v>17</v>
      </c>
      <c r="G65" s="109">
        <v>280</v>
      </c>
    </row>
    <row r="66" spans="1:7" ht="73.2" x14ac:dyDescent="0.3">
      <c r="A66" s="43">
        <v>46021</v>
      </c>
      <c r="B66" s="55" t="s">
        <v>16</v>
      </c>
      <c r="C66" s="61" t="s">
        <v>31</v>
      </c>
      <c r="D66" s="37" t="s">
        <v>149</v>
      </c>
      <c r="E66" s="108" t="s">
        <v>51</v>
      </c>
      <c r="F66" s="37" t="s">
        <v>17</v>
      </c>
      <c r="G66" s="109">
        <v>480</v>
      </c>
    </row>
    <row r="67" spans="1:7" ht="61.2" x14ac:dyDescent="0.3">
      <c r="A67" s="43">
        <v>46021</v>
      </c>
      <c r="B67" s="55" t="s">
        <v>56</v>
      </c>
      <c r="C67" s="61" t="s">
        <v>31</v>
      </c>
      <c r="D67" s="37" t="s">
        <v>151</v>
      </c>
      <c r="E67" s="108" t="s">
        <v>21</v>
      </c>
      <c r="F67" s="37" t="s">
        <v>17</v>
      </c>
      <c r="G67" s="109">
        <v>60</v>
      </c>
    </row>
    <row r="68" spans="1:7" ht="61.2" x14ac:dyDescent="0.3">
      <c r="A68" s="43">
        <v>46021</v>
      </c>
      <c r="B68" s="55" t="s">
        <v>70</v>
      </c>
      <c r="C68" s="61" t="s">
        <v>31</v>
      </c>
      <c r="D68" s="37" t="s">
        <v>152</v>
      </c>
      <c r="E68" s="108" t="s">
        <v>117</v>
      </c>
      <c r="F68" s="37" t="s">
        <v>17</v>
      </c>
      <c r="G68" s="109">
        <v>220</v>
      </c>
    </row>
    <row r="69" spans="1:7" ht="61.8" thickBot="1" x14ac:dyDescent="0.35">
      <c r="A69" s="43">
        <v>46052</v>
      </c>
      <c r="B69" s="55" t="s">
        <v>16</v>
      </c>
      <c r="C69" s="61" t="s">
        <v>31</v>
      </c>
      <c r="D69" s="37" t="s">
        <v>153</v>
      </c>
      <c r="E69" s="108" t="s">
        <v>21</v>
      </c>
      <c r="F69" s="37" t="s">
        <v>17</v>
      </c>
      <c r="G69" s="109">
        <v>170</v>
      </c>
    </row>
    <row r="70" spans="1:7" ht="92.4" thickBot="1" x14ac:dyDescent="1.1499999999999999">
      <c r="A70" s="47"/>
      <c r="B70" s="112"/>
      <c r="C70" s="104"/>
      <c r="D70" s="112"/>
      <c r="E70" s="21"/>
      <c r="F70" s="104" t="s">
        <v>14</v>
      </c>
      <c r="G70" s="113">
        <f>SUM(G6:G69)</f>
        <v>20418</v>
      </c>
    </row>
    <row r="71" spans="1:7" ht="92.4" thickBot="1" x14ac:dyDescent="0.75">
      <c r="A71" s="47"/>
      <c r="D71" s="175" t="s">
        <v>63</v>
      </c>
      <c r="E71" s="175"/>
      <c r="F71" s="176"/>
      <c r="G71" s="113">
        <f>G70/2</f>
        <v>10209</v>
      </c>
    </row>
    <row r="72" spans="1:7" ht="46.2" x14ac:dyDescent="0.7">
      <c r="A72" s="118"/>
    </row>
    <row r="73" spans="1:7" ht="61.2" x14ac:dyDescent="1.1000000000000001">
      <c r="A73" s="112"/>
    </row>
  </sheetData>
  <mergeCells count="2">
    <mergeCell ref="A1:G1"/>
    <mergeCell ref="D71:F71"/>
  </mergeCells>
  <pageMargins left="0.75" right="0.2" top="0.5" bottom="0" header="0.3" footer="0.3"/>
  <pageSetup paperSize="9" scale="27" orientation="portrait" r:id="rId1"/>
  <rowBreaks count="1" manualBreakCount="1">
    <brk id="34" max="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8"/>
  <sheetViews>
    <sheetView view="pageBreakPreview" zoomScale="32" zoomScaleNormal="60" zoomScaleSheetLayoutView="32" workbookViewId="0">
      <selection activeCell="I1" sqref="I1"/>
    </sheetView>
  </sheetViews>
  <sheetFormatPr defaultRowHeight="14.4" x14ac:dyDescent="0.3"/>
  <cols>
    <col min="1" max="1" width="37.33203125" customWidth="1"/>
    <col min="2" max="2" width="83.88671875" customWidth="1"/>
    <col min="3" max="3" width="46.109375" customWidth="1"/>
  </cols>
  <sheetData>
    <row r="1" spans="1:13" ht="234" customHeight="1" x14ac:dyDescent="0.85">
      <c r="A1" s="170" t="s">
        <v>206</v>
      </c>
      <c r="B1" s="170"/>
      <c r="C1" s="170"/>
      <c r="D1" s="60"/>
      <c r="E1" s="60"/>
      <c r="F1" s="60"/>
      <c r="G1" s="60"/>
    </row>
    <row r="2" spans="1:13" ht="61.2" x14ac:dyDescent="0.85">
      <c r="A2" s="90"/>
      <c r="B2" s="90"/>
      <c r="C2" s="90"/>
      <c r="D2" s="60"/>
      <c r="E2" s="60"/>
      <c r="F2" s="60"/>
      <c r="G2" s="60"/>
    </row>
    <row r="3" spans="1:13" ht="61.2" x14ac:dyDescent="0.85">
      <c r="A3" s="90"/>
      <c r="B3" s="90"/>
      <c r="C3" s="90"/>
      <c r="D3" s="60"/>
      <c r="E3" s="60"/>
      <c r="F3" s="60"/>
      <c r="G3" s="60"/>
    </row>
    <row r="4" spans="1:13" ht="15" thickBot="1" x14ac:dyDescent="0.35"/>
    <row r="5" spans="1:13" ht="46.8" thickBot="1" x14ac:dyDescent="0.35">
      <c r="A5" s="31" t="s">
        <v>10</v>
      </c>
      <c r="B5" s="31" t="s">
        <v>1</v>
      </c>
      <c r="C5" s="140" t="s">
        <v>5</v>
      </c>
      <c r="M5" t="s">
        <v>37</v>
      </c>
    </row>
    <row r="6" spans="1:13" ht="61.2" x14ac:dyDescent="0.3">
      <c r="A6" s="43">
        <v>45994</v>
      </c>
      <c r="B6" s="61" t="s">
        <v>217</v>
      </c>
      <c r="C6" s="39">
        <v>320</v>
      </c>
    </row>
    <row r="7" spans="1:13" ht="61.8" thickBot="1" x14ac:dyDescent="0.35">
      <c r="A7" s="43">
        <v>46012</v>
      </c>
      <c r="B7" s="61" t="s">
        <v>218</v>
      </c>
      <c r="C7" s="39">
        <v>500</v>
      </c>
    </row>
    <row r="8" spans="1:13" ht="92.4" thickBot="1" x14ac:dyDescent="0.35">
      <c r="A8" s="43"/>
      <c r="B8" s="63"/>
      <c r="C8" s="66">
        <f>SUM(C6:C7)</f>
        <v>820</v>
      </c>
    </row>
  </sheetData>
  <mergeCells count="1">
    <mergeCell ref="A1:C1"/>
  </mergeCells>
  <pageMargins left="0.7" right="0.2" top="1.25" bottom="0.25" header="0.3" footer="0.3"/>
  <pageSetup paperSize="9" scale="5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view="pageBreakPreview" zoomScale="29" zoomScaleNormal="75" zoomScaleSheetLayoutView="29" workbookViewId="0">
      <selection activeCell="K10" sqref="K10"/>
    </sheetView>
  </sheetViews>
  <sheetFormatPr defaultColWidth="8.44140625" defaultRowHeight="14.4" x14ac:dyDescent="0.3"/>
  <cols>
    <col min="1" max="1" width="37.5546875" bestFit="1" customWidth="1"/>
    <col min="2" max="2" width="79.109375" customWidth="1"/>
    <col min="3" max="3" width="32.109375" customWidth="1"/>
    <col min="4" max="4" width="29.109375" bestFit="1" customWidth="1"/>
  </cols>
  <sheetData>
    <row r="1" spans="1:3" ht="135" customHeight="1" x14ac:dyDescent="0.3">
      <c r="A1" s="161" t="s">
        <v>207</v>
      </c>
      <c r="B1" s="161"/>
      <c r="C1" s="161"/>
    </row>
    <row r="2" spans="1:3" ht="61.2" x14ac:dyDescent="1.1000000000000001">
      <c r="B2" s="21"/>
    </row>
    <row r="3" spans="1:3" ht="36.6" x14ac:dyDescent="0.7">
      <c r="B3" s="5"/>
    </row>
    <row r="4" spans="1:3" ht="36.6" x14ac:dyDescent="0.7">
      <c r="B4" s="5"/>
    </row>
    <row r="5" spans="1:3" ht="36.6" x14ac:dyDescent="0.7">
      <c r="B5" s="5"/>
    </row>
    <row r="6" spans="1:3" ht="36.6" x14ac:dyDescent="0.7">
      <c r="B6" s="5"/>
    </row>
    <row r="8" spans="1:3" ht="15" thickBot="1" x14ac:dyDescent="0.35"/>
    <row r="9" spans="1:3" ht="46.8" thickBot="1" x14ac:dyDescent="0.9">
      <c r="A9" s="3" t="s">
        <v>10</v>
      </c>
      <c r="B9" s="3" t="s">
        <v>1</v>
      </c>
      <c r="C9" s="50" t="s">
        <v>5</v>
      </c>
    </row>
    <row r="10" spans="1:3" ht="92.4" x14ac:dyDescent="0.3">
      <c r="A10" s="43">
        <v>45994</v>
      </c>
      <c r="B10" s="61" t="s">
        <v>219</v>
      </c>
      <c r="C10" s="39">
        <v>815</v>
      </c>
    </row>
    <row r="11" spans="1:3" ht="61.8" thickBot="1" x14ac:dyDescent="0.35">
      <c r="A11" s="43"/>
      <c r="B11" s="61"/>
      <c r="C11" s="39"/>
    </row>
    <row r="12" spans="1:3" ht="92.4" thickBot="1" x14ac:dyDescent="1.7">
      <c r="A12" s="47"/>
      <c r="C12" s="41">
        <f>SUM(C10:C11)</f>
        <v>815</v>
      </c>
    </row>
  </sheetData>
  <mergeCells count="1">
    <mergeCell ref="A1:C1"/>
  </mergeCells>
  <phoneticPr fontId="16" type="noConversion"/>
  <pageMargins left="0.95" right="0.2" top="1.5" bottom="0.25" header="0.3" footer="0.3"/>
  <pageSetup scale="5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9"/>
  <sheetViews>
    <sheetView view="pageBreakPreview" topLeftCell="A7" zoomScale="34" zoomScaleNormal="62" zoomScaleSheetLayoutView="34" workbookViewId="0">
      <selection activeCell="J9" sqref="J9"/>
    </sheetView>
  </sheetViews>
  <sheetFormatPr defaultRowHeight="14.4" x14ac:dyDescent="0.3"/>
  <cols>
    <col min="1" max="1" width="88" customWidth="1"/>
    <col min="2" max="2" width="40.109375" bestFit="1" customWidth="1"/>
    <col min="3" max="6" width="9.109375" hidden="1" customWidth="1"/>
    <col min="7" max="7" width="3.88671875" customWidth="1"/>
  </cols>
  <sheetData>
    <row r="1" spans="1:10" ht="127.5" customHeight="1" x14ac:dyDescent="1.1000000000000001">
      <c r="A1" s="177" t="s">
        <v>246</v>
      </c>
      <c r="B1" s="177"/>
      <c r="C1" s="64"/>
      <c r="D1" s="64"/>
      <c r="E1" s="64"/>
      <c r="F1" s="64"/>
      <c r="G1" s="64"/>
    </row>
    <row r="2" spans="1:10" ht="46.2" x14ac:dyDescent="0.85">
      <c r="A2" s="95"/>
      <c r="B2" s="95"/>
      <c r="C2" s="64"/>
      <c r="D2" s="64"/>
      <c r="E2" s="64"/>
      <c r="F2" s="64"/>
      <c r="G2" s="64"/>
    </row>
    <row r="3" spans="1:10" ht="90.75" customHeight="1" x14ac:dyDescent="0.85">
      <c r="A3" s="95"/>
      <c r="B3" s="95"/>
      <c r="C3" s="64"/>
      <c r="D3" s="64"/>
      <c r="E3" s="64"/>
      <c r="F3" s="64"/>
      <c r="G3" s="64"/>
      <c r="J3" t="s">
        <v>65</v>
      </c>
    </row>
    <row r="4" spans="1:10" ht="36.6" x14ac:dyDescent="0.7">
      <c r="A4" s="62"/>
    </row>
    <row r="5" spans="1:10" ht="15" thickBot="1" x14ac:dyDescent="0.35"/>
    <row r="6" spans="1:10" ht="46.8" thickBot="1" x14ac:dyDescent="0.9">
      <c r="A6" s="97" t="s">
        <v>66</v>
      </c>
      <c r="B6" s="82" t="s">
        <v>67</v>
      </c>
    </row>
    <row r="7" spans="1:10" ht="92.4" x14ac:dyDescent="0.3">
      <c r="A7" s="96" t="s">
        <v>247</v>
      </c>
      <c r="B7" s="39">
        <f>'[1]MD''s Expenses of Dec''25'!D18</f>
        <v>9801</v>
      </c>
    </row>
    <row r="8" spans="1:10" ht="138.6" x14ac:dyDescent="0.3">
      <c r="A8" s="65" t="s">
        <v>248</v>
      </c>
      <c r="B8" s="48">
        <f>'[1]Director''s Expenses Dec''25'!D12</f>
        <v>6960</v>
      </c>
    </row>
    <row r="9" spans="1:10" ht="92.4" thickBot="1" x14ac:dyDescent="1.7">
      <c r="B9" s="30">
        <f>SUM(B7,B8)</f>
        <v>16761</v>
      </c>
    </row>
  </sheetData>
  <mergeCells count="1">
    <mergeCell ref="A1:B1"/>
  </mergeCells>
  <pageMargins left="0.7" right="0.2" top="1.25" bottom="0.75" header="0.3" footer="0.3"/>
  <pageSetup scale="70" orientation="portrait" r:id="rId1"/>
  <colBreaks count="1" manualBreakCount="1">
    <brk id="3" max="8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5"/>
  <sheetViews>
    <sheetView view="pageBreakPreview" topLeftCell="A7" zoomScale="23" zoomScaleSheetLayoutView="23" workbookViewId="0">
      <selection activeCell="X12" sqref="X12"/>
    </sheetView>
  </sheetViews>
  <sheetFormatPr defaultRowHeight="14.4" x14ac:dyDescent="0.3"/>
  <cols>
    <col min="1" max="1" width="22.5546875" customWidth="1"/>
    <col min="2" max="2" width="136.5546875" customWidth="1"/>
    <col min="3" max="3" width="41" bestFit="1" customWidth="1"/>
  </cols>
  <sheetData>
    <row r="1" spans="1:11" ht="178.5" customHeight="1" x14ac:dyDescent="0.3">
      <c r="A1" s="171" t="s">
        <v>240</v>
      </c>
      <c r="B1" s="171"/>
      <c r="C1" s="171"/>
      <c r="D1" s="80"/>
      <c r="E1" s="80"/>
      <c r="F1" s="80"/>
      <c r="G1" s="80"/>
      <c r="H1" s="80"/>
      <c r="I1" s="80"/>
      <c r="J1" s="80"/>
      <c r="K1" s="80"/>
    </row>
    <row r="2" spans="1:11" ht="123" customHeight="1" x14ac:dyDescent="0.3">
      <c r="A2" s="76"/>
      <c r="B2" s="76"/>
      <c r="C2" s="76"/>
      <c r="D2" s="80"/>
      <c r="E2" s="80"/>
      <c r="F2" s="80"/>
      <c r="G2" s="80"/>
      <c r="H2" s="80"/>
      <c r="I2" s="80"/>
      <c r="J2" s="80"/>
      <c r="K2" s="80"/>
    </row>
    <row r="3" spans="1:11" ht="61.2" x14ac:dyDescent="1.1000000000000001">
      <c r="A3" s="79"/>
      <c r="B3" s="76"/>
      <c r="C3" s="80"/>
      <c r="D3" s="80"/>
      <c r="E3" s="80"/>
      <c r="F3" s="80"/>
      <c r="G3" s="80"/>
      <c r="H3" s="80"/>
      <c r="I3" s="80"/>
      <c r="J3" s="80"/>
      <c r="K3" s="80"/>
    </row>
    <row r="4" spans="1:11" ht="61.2" x14ac:dyDescent="1.1000000000000001">
      <c r="A4" s="81"/>
      <c r="B4" s="67"/>
    </row>
    <row r="5" spans="1:11" ht="61.8" thickBot="1" x14ac:dyDescent="0.35">
      <c r="B5" s="67"/>
    </row>
    <row r="6" spans="1:11" ht="61.8" thickBot="1" x14ac:dyDescent="1.1499999999999999">
      <c r="A6" s="137" t="s">
        <v>12</v>
      </c>
      <c r="B6" s="49" t="s">
        <v>13</v>
      </c>
      <c r="C6" s="82" t="s">
        <v>14</v>
      </c>
    </row>
    <row r="7" spans="1:11" ht="61.2" x14ac:dyDescent="1.1000000000000001">
      <c r="A7" s="138">
        <v>1</v>
      </c>
      <c r="B7" s="24" t="s">
        <v>95</v>
      </c>
      <c r="C7" s="42">
        <f>'[2] Others Expenses'!D12</f>
        <v>7603</v>
      </c>
    </row>
    <row r="8" spans="1:11" ht="61.2" x14ac:dyDescent="1.1000000000000001">
      <c r="A8" s="138">
        <v>2</v>
      </c>
      <c r="B8" s="29" t="s">
        <v>96</v>
      </c>
      <c r="C8" s="35">
        <f>'[2]Laptop Expenses'!D11</f>
        <v>0</v>
      </c>
    </row>
    <row r="9" spans="1:11" ht="61.2" x14ac:dyDescent="1.1000000000000001">
      <c r="A9" s="138">
        <v>3</v>
      </c>
      <c r="B9" s="29" t="s">
        <v>97</v>
      </c>
      <c r="C9" s="35">
        <f>'[2]Food Expenses'!D13</f>
        <v>5775</v>
      </c>
    </row>
    <row r="10" spans="1:11" ht="61.2" x14ac:dyDescent="1.1000000000000001">
      <c r="A10" s="83">
        <v>4</v>
      </c>
      <c r="B10" s="29" t="s">
        <v>98</v>
      </c>
      <c r="C10" s="35">
        <f>[2]Grocery!C35</f>
        <v>3812</v>
      </c>
    </row>
    <row r="11" spans="1:11" ht="61.2" x14ac:dyDescent="1.1000000000000001">
      <c r="A11" s="83">
        <v>5</v>
      </c>
      <c r="B11" s="29" t="s">
        <v>99</v>
      </c>
      <c r="C11" s="40">
        <f>'[2]House Hold'!C9</f>
        <v>0</v>
      </c>
    </row>
    <row r="12" spans="1:11" ht="122.4" x14ac:dyDescent="1.1000000000000001">
      <c r="A12" s="23">
        <v>6</v>
      </c>
      <c r="B12" s="84" t="s">
        <v>100</v>
      </c>
      <c r="C12" s="85">
        <f>'[2]Electric Purpose'!C9</f>
        <v>0</v>
      </c>
    </row>
    <row r="13" spans="1:11" ht="61.2" x14ac:dyDescent="1.1000000000000001">
      <c r="A13" s="83">
        <v>7</v>
      </c>
      <c r="B13" s="84" t="s">
        <v>101</v>
      </c>
      <c r="C13" s="40">
        <f>[2]Conveyance!G14</f>
        <v>0</v>
      </c>
    </row>
    <row r="14" spans="1:11" ht="61.8" thickBot="1" x14ac:dyDescent="1.1499999999999999">
      <c r="A14" s="20">
        <v>8</v>
      </c>
      <c r="B14" s="29" t="s">
        <v>102</v>
      </c>
      <c r="C14" s="40">
        <f>[2]Stationary!C24</f>
        <v>390</v>
      </c>
    </row>
    <row r="15" spans="1:11" ht="92.4" thickBot="1" x14ac:dyDescent="1.7">
      <c r="C15" s="41">
        <f>SUM(C7:C14)</f>
        <v>17580</v>
      </c>
    </row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</sheetData>
  <mergeCells count="1">
    <mergeCell ref="A1:C1"/>
  </mergeCells>
  <pageMargins left="0.7" right="0.7" top="1.5" bottom="0.75" header="0.3" footer="0.3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1"/>
  <sheetViews>
    <sheetView view="pageBreakPreview" zoomScale="23" zoomScaleNormal="48" zoomScaleSheetLayoutView="23" workbookViewId="0">
      <selection sqref="A1:XFD1048576"/>
    </sheetView>
  </sheetViews>
  <sheetFormatPr defaultRowHeight="14.4" x14ac:dyDescent="0.3"/>
  <cols>
    <col min="1" max="1" width="36.109375" customWidth="1"/>
    <col min="2" max="2" width="54" customWidth="1"/>
    <col min="3" max="3" width="57.6640625" customWidth="1"/>
    <col min="4" max="4" width="44" customWidth="1"/>
  </cols>
  <sheetData>
    <row r="1" spans="1:4" ht="61.2" x14ac:dyDescent="1.1000000000000001">
      <c r="A1" s="178" t="s">
        <v>222</v>
      </c>
      <c r="B1" s="178"/>
      <c r="C1" s="178"/>
      <c r="D1" s="178"/>
    </row>
    <row r="2" spans="1:4" ht="61.2" x14ac:dyDescent="1.1000000000000001">
      <c r="B2" s="112"/>
      <c r="C2" s="112"/>
      <c r="D2" s="139"/>
    </row>
    <row r="3" spans="1:4" ht="61.2" x14ac:dyDescent="1.1000000000000001">
      <c r="B3" s="112"/>
      <c r="C3" s="112"/>
      <c r="D3" s="139"/>
    </row>
    <row r="4" spans="1:4" ht="61.2" x14ac:dyDescent="1.1000000000000001">
      <c r="B4" s="112"/>
      <c r="C4" s="112"/>
      <c r="D4" s="139"/>
    </row>
    <row r="5" spans="1:4" ht="61.2" x14ac:dyDescent="1.1000000000000001">
      <c r="B5" s="112"/>
      <c r="C5" s="112"/>
      <c r="D5" s="139"/>
    </row>
    <row r="6" spans="1:4" ht="33.6" x14ac:dyDescent="0.65">
      <c r="B6" s="128"/>
      <c r="C6" s="128"/>
      <c r="D6" s="127"/>
    </row>
    <row r="7" spans="1:4" ht="34.200000000000003" thickBot="1" x14ac:dyDescent="0.7">
      <c r="B7" s="128"/>
      <c r="C7" s="128"/>
      <c r="D7" s="127"/>
    </row>
    <row r="8" spans="1:4" ht="61.8" thickBot="1" x14ac:dyDescent="1.1499999999999999">
      <c r="A8" s="49" t="s">
        <v>3</v>
      </c>
      <c r="B8" s="49" t="s">
        <v>42</v>
      </c>
      <c r="C8" s="49" t="s">
        <v>4</v>
      </c>
      <c r="D8" s="82" t="s">
        <v>5</v>
      </c>
    </row>
    <row r="9" spans="1:4" ht="92.4" x14ac:dyDescent="0.3">
      <c r="A9" s="43">
        <v>46004</v>
      </c>
      <c r="B9" s="23" t="s">
        <v>103</v>
      </c>
      <c r="C9" s="27" t="s">
        <v>223</v>
      </c>
      <c r="D9" s="69">
        <v>800</v>
      </c>
    </row>
    <row r="10" spans="1:4" ht="93" customHeight="1" thickBot="1" x14ac:dyDescent="0.35">
      <c r="A10" s="43">
        <v>46004</v>
      </c>
      <c r="B10" s="23" t="s">
        <v>103</v>
      </c>
      <c r="C10" s="27" t="s">
        <v>224</v>
      </c>
      <c r="D10" s="69">
        <v>780</v>
      </c>
    </row>
    <row r="11" spans="1:4" ht="92.4" thickBot="1" x14ac:dyDescent="1.7">
      <c r="A11" s="47"/>
      <c r="D11" s="41">
        <f>SUM(D9:D10)</f>
        <v>1580</v>
      </c>
    </row>
  </sheetData>
  <mergeCells count="1">
    <mergeCell ref="A1:D1"/>
  </mergeCells>
  <pageMargins left="0.95" right="0.2" top="1.5" bottom="0.75" header="0.3" footer="0.3"/>
  <pageSetup scale="45" orientation="portrait" r:id="rId1"/>
  <colBreaks count="1" manualBreakCount="1">
    <brk id="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38C0-2C99-44AA-9593-618D23006373}">
  <dimension ref="A1:H12"/>
  <sheetViews>
    <sheetView view="pageBreakPreview" topLeftCell="A3" zoomScale="27" zoomScaleNormal="33" zoomScaleSheetLayoutView="27" workbookViewId="0">
      <selection activeCell="W9" sqref="W9"/>
    </sheetView>
  </sheetViews>
  <sheetFormatPr defaultRowHeight="14.4" x14ac:dyDescent="0.3"/>
  <cols>
    <col min="1" max="1" width="41.88671875" bestFit="1" customWidth="1"/>
    <col min="2" max="2" width="55.88671875" bestFit="1" customWidth="1"/>
    <col min="3" max="3" width="88" bestFit="1" customWidth="1"/>
    <col min="4" max="4" width="53.6640625" bestFit="1" customWidth="1"/>
  </cols>
  <sheetData>
    <row r="1" spans="1:8" s="60" customFormat="1" ht="91.95" customHeight="1" x14ac:dyDescent="1.65">
      <c r="A1" s="179" t="s">
        <v>225</v>
      </c>
      <c r="B1" s="179"/>
      <c r="C1" s="179"/>
      <c r="D1" s="179"/>
      <c r="E1" s="112"/>
      <c r="H1" s="60" t="s">
        <v>92</v>
      </c>
    </row>
    <row r="2" spans="1:8" s="60" customFormat="1" ht="61.2" x14ac:dyDescent="1.1000000000000001">
      <c r="A2" s="21"/>
      <c r="B2" s="21"/>
      <c r="C2" s="21"/>
      <c r="D2" s="21"/>
      <c r="E2" s="112"/>
    </row>
    <row r="3" spans="1:8" s="60" customFormat="1" ht="61.2" x14ac:dyDescent="1.1000000000000001">
      <c r="A3" s="21"/>
      <c r="B3" s="21"/>
      <c r="C3" s="21"/>
      <c r="D3" s="21"/>
      <c r="E3" s="112"/>
    </row>
    <row r="4" spans="1:8" s="60" customFormat="1" ht="61.2" x14ac:dyDescent="1.1000000000000001">
      <c r="A4" s="21"/>
      <c r="B4" s="21"/>
      <c r="C4" s="21"/>
      <c r="D4" s="21"/>
      <c r="E4" s="112"/>
    </row>
    <row r="5" spans="1:8" s="60" customFormat="1" ht="46.2" x14ac:dyDescent="0.85"/>
    <row r="6" spans="1:8" s="60" customFormat="1" ht="46.2" x14ac:dyDescent="0.85"/>
    <row r="7" spans="1:8" s="60" customFormat="1" ht="46.2" x14ac:dyDescent="0.85"/>
    <row r="8" spans="1:8" s="60" customFormat="1" ht="46.8" thickBot="1" x14ac:dyDescent="0.9"/>
    <row r="9" spans="1:8" ht="61.8" thickBot="1" x14ac:dyDescent="1.1499999999999999">
      <c r="A9" s="49" t="s">
        <v>3</v>
      </c>
      <c r="B9" s="49" t="s">
        <v>42</v>
      </c>
      <c r="C9" s="49" t="s">
        <v>4</v>
      </c>
      <c r="D9" s="82" t="s">
        <v>5</v>
      </c>
    </row>
    <row r="10" spans="1:8" ht="138.6" x14ac:dyDescent="0.3">
      <c r="A10" s="43">
        <v>46021</v>
      </c>
      <c r="B10" s="130" t="s">
        <v>93</v>
      </c>
      <c r="C10" s="131" t="s">
        <v>239</v>
      </c>
      <c r="D10" s="69">
        <v>8500</v>
      </c>
    </row>
    <row r="11" spans="1:8" ht="61.8" thickBot="1" x14ac:dyDescent="0.35">
      <c r="A11" s="43"/>
      <c r="B11" s="130"/>
      <c r="C11" s="131"/>
      <c r="D11" s="69"/>
    </row>
    <row r="12" spans="1:8" ht="92.4" thickBot="1" x14ac:dyDescent="0.35">
      <c r="D12" s="132">
        <f>SUM(D10:D11)</f>
        <v>8500</v>
      </c>
    </row>
  </sheetData>
  <mergeCells count="1">
    <mergeCell ref="A1:D1"/>
  </mergeCells>
  <pageMargins left="0.7" right="0.7" top="1.5" bottom="0.75" header="0.3" footer="0.3"/>
  <pageSetup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3"/>
  <sheetViews>
    <sheetView view="pageBreakPreview" zoomScale="26" zoomScaleNormal="55" zoomScaleSheetLayoutView="26" workbookViewId="0">
      <selection activeCell="L7" sqref="L7"/>
    </sheetView>
  </sheetViews>
  <sheetFormatPr defaultRowHeight="14.4" x14ac:dyDescent="0.3"/>
  <cols>
    <col min="1" max="1" width="35.88671875" customWidth="1"/>
    <col min="2" max="2" width="41.88671875" customWidth="1"/>
    <col min="3" max="3" width="79.5546875" customWidth="1"/>
    <col min="4" max="4" width="37.44140625" bestFit="1" customWidth="1"/>
  </cols>
  <sheetData>
    <row r="1" spans="1:4" ht="61.2" x14ac:dyDescent="1.1000000000000001">
      <c r="A1" s="178" t="s">
        <v>220</v>
      </c>
      <c r="B1" s="178"/>
      <c r="C1" s="178"/>
      <c r="D1" s="178"/>
    </row>
    <row r="2" spans="1:4" ht="46.2" x14ac:dyDescent="0.85">
      <c r="B2" s="17"/>
      <c r="C2" s="17"/>
      <c r="D2" s="127"/>
    </row>
    <row r="3" spans="1:4" ht="46.2" x14ac:dyDescent="0.85">
      <c r="B3" s="17"/>
      <c r="C3" s="17"/>
      <c r="D3" s="127"/>
    </row>
    <row r="4" spans="1:4" ht="46.2" x14ac:dyDescent="0.85">
      <c r="B4" s="17"/>
      <c r="C4" s="17"/>
      <c r="D4" s="127"/>
    </row>
    <row r="5" spans="1:4" ht="46.2" x14ac:dyDescent="0.85">
      <c r="B5" s="17"/>
      <c r="C5" s="17"/>
      <c r="D5" s="127"/>
    </row>
    <row r="6" spans="1:4" ht="46.2" x14ac:dyDescent="0.85">
      <c r="B6" s="17"/>
      <c r="C6" s="17"/>
      <c r="D6" s="127"/>
    </row>
    <row r="7" spans="1:4" ht="46.2" x14ac:dyDescent="0.85">
      <c r="B7" s="17"/>
      <c r="C7" s="17"/>
      <c r="D7" s="127"/>
    </row>
    <row r="8" spans="1:4" ht="55.2" customHeight="1" x14ac:dyDescent="0.65">
      <c r="B8" s="128"/>
      <c r="C8" s="128"/>
      <c r="D8" s="127"/>
    </row>
    <row r="9" spans="1:4" ht="15" thickBot="1" x14ac:dyDescent="0.35"/>
    <row r="10" spans="1:4" ht="46.8" thickBot="1" x14ac:dyDescent="0.9">
      <c r="A10" s="3" t="s">
        <v>10</v>
      </c>
      <c r="B10" s="3" t="s">
        <v>42</v>
      </c>
      <c r="C10" s="3" t="s">
        <v>1</v>
      </c>
      <c r="D10" s="129" t="s">
        <v>5</v>
      </c>
    </row>
    <row r="11" spans="1:4" ht="92.4" customHeight="1" x14ac:dyDescent="0.3">
      <c r="A11" s="43">
        <v>46082</v>
      </c>
      <c r="B11" s="130" t="s">
        <v>88</v>
      </c>
      <c r="C11" s="27" t="s">
        <v>221</v>
      </c>
      <c r="D11" s="48">
        <f>34*70</f>
        <v>2380</v>
      </c>
    </row>
    <row r="12" spans="1:4" ht="61.2" x14ac:dyDescent="0.3">
      <c r="A12" s="43"/>
      <c r="B12" s="130"/>
      <c r="C12" s="27"/>
      <c r="D12" s="48"/>
    </row>
    <row r="13" spans="1:4" ht="92.4" thickBot="1" x14ac:dyDescent="1.7">
      <c r="A13" s="47"/>
      <c r="D13" s="30">
        <f>SUM(D11:D12)</f>
        <v>2380</v>
      </c>
    </row>
  </sheetData>
  <mergeCells count="1">
    <mergeCell ref="A1:D1"/>
  </mergeCells>
  <pageMargins left="0.7" right="0.2" top="1.5" bottom="0.75" header="0.3" footer="0.3"/>
  <pageSetup scale="4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45"/>
  <sheetViews>
    <sheetView view="pageBreakPreview" topLeftCell="A12" zoomScale="30" zoomScaleNormal="46" zoomScaleSheetLayoutView="30" workbookViewId="0">
      <selection activeCell="H31" sqref="H31"/>
    </sheetView>
  </sheetViews>
  <sheetFormatPr defaultColWidth="39.6640625" defaultRowHeight="14.4" x14ac:dyDescent="0.3"/>
  <cols>
    <col min="2" max="2" width="53.44140625" customWidth="1"/>
    <col min="3" max="3" width="72.77734375" customWidth="1"/>
    <col min="4" max="4" width="52.44140625" bestFit="1" customWidth="1"/>
  </cols>
  <sheetData>
    <row r="1" spans="1:6" ht="61.2" x14ac:dyDescent="1.1000000000000001">
      <c r="A1" s="178" t="s">
        <v>241</v>
      </c>
      <c r="B1" s="178"/>
      <c r="C1" s="178"/>
      <c r="D1" s="178"/>
    </row>
    <row r="2" spans="1:6" ht="61.2" x14ac:dyDescent="1.1000000000000001">
      <c r="A2" s="21"/>
      <c r="B2" s="21"/>
      <c r="C2" s="21"/>
      <c r="D2" s="21"/>
    </row>
    <row r="3" spans="1:6" ht="61.2" x14ac:dyDescent="1.1000000000000001">
      <c r="A3" s="21"/>
      <c r="B3" s="21"/>
      <c r="C3" s="21"/>
      <c r="D3" s="21"/>
    </row>
    <row r="4" spans="1:6" ht="61.2" x14ac:dyDescent="1.1000000000000001">
      <c r="A4" s="21"/>
      <c r="B4" s="21"/>
      <c r="C4" s="21"/>
    </row>
    <row r="5" spans="1:6" ht="61.8" thickBot="1" x14ac:dyDescent="1.1499999999999999">
      <c r="C5" s="21"/>
      <c r="F5" s="136"/>
    </row>
    <row r="6" spans="1:6" ht="61.8" thickBot="1" x14ac:dyDescent="1.1499999999999999">
      <c r="A6" s="49" t="s">
        <v>10</v>
      </c>
      <c r="B6" s="49" t="s">
        <v>42</v>
      </c>
      <c r="C6" s="49" t="s">
        <v>1</v>
      </c>
      <c r="D6" s="123" t="s">
        <v>5</v>
      </c>
    </row>
    <row r="7" spans="1:6" ht="92.4" x14ac:dyDescent="0.3">
      <c r="A7" s="43">
        <v>45995</v>
      </c>
      <c r="B7" s="77" t="s">
        <v>40</v>
      </c>
      <c r="C7" s="33" t="s">
        <v>242</v>
      </c>
      <c r="D7" s="39">
        <v>450</v>
      </c>
    </row>
    <row r="8" spans="1:6" ht="231" x14ac:dyDescent="0.3">
      <c r="A8" s="43">
        <v>45996</v>
      </c>
      <c r="B8" s="77" t="s">
        <v>40</v>
      </c>
      <c r="C8" s="33" t="s">
        <v>121</v>
      </c>
      <c r="D8" s="39">
        <v>2780</v>
      </c>
    </row>
    <row r="9" spans="1:6" ht="61.2" x14ac:dyDescent="0.3">
      <c r="A9" s="43">
        <v>46000</v>
      </c>
      <c r="B9" s="77" t="s">
        <v>40</v>
      </c>
      <c r="C9" s="61" t="s">
        <v>243</v>
      </c>
      <c r="D9" s="39">
        <v>180</v>
      </c>
    </row>
    <row r="10" spans="1:6" ht="138.6" x14ac:dyDescent="0.3">
      <c r="A10" s="43">
        <v>46005</v>
      </c>
      <c r="B10" s="77" t="s">
        <v>40</v>
      </c>
      <c r="C10" s="27" t="s">
        <v>244</v>
      </c>
      <c r="D10" s="39">
        <v>1599</v>
      </c>
    </row>
    <row r="11" spans="1:6" ht="185.4" thickBot="1" x14ac:dyDescent="0.35">
      <c r="A11" s="43">
        <v>46025</v>
      </c>
      <c r="B11" s="77" t="s">
        <v>40</v>
      </c>
      <c r="C11" s="27" t="s">
        <v>245</v>
      </c>
      <c r="D11" s="39">
        <f>12*70</f>
        <v>840</v>
      </c>
    </row>
    <row r="12" spans="1:6" ht="92.4" thickBot="1" x14ac:dyDescent="1.7">
      <c r="A12" s="32"/>
      <c r="D12" s="41">
        <f>SUM(D7:D11)</f>
        <v>5849</v>
      </c>
    </row>
    <row r="37" customFormat="1" x14ac:dyDescent="0.3"/>
    <row r="38" customFormat="1" x14ac:dyDescent="0.3"/>
    <row r="39" customFormat="1" x14ac:dyDescent="0.3"/>
    <row r="40" customFormat="1" ht="15" customHeight="1" x14ac:dyDescent="0.3"/>
    <row r="41" customFormat="1" ht="12.75" customHeight="1" x14ac:dyDescent="0.3"/>
    <row r="42" customFormat="1" x14ac:dyDescent="0.3"/>
    <row r="43" customFormat="1" x14ac:dyDescent="0.3"/>
    <row r="44" customFormat="1" x14ac:dyDescent="0.3"/>
    <row r="45" customFormat="1" x14ac:dyDescent="0.3"/>
  </sheetData>
  <mergeCells count="1">
    <mergeCell ref="A1:D1"/>
  </mergeCells>
  <pageMargins left="0.7" right="0.2" top="1.5" bottom="0.75" header="0.3" footer="0.3"/>
  <pageSetup paperSize="9" scale="3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7"/>
  <sheetViews>
    <sheetView view="pageBreakPreview" topLeftCell="A10" zoomScale="26" zoomScaleNormal="100" zoomScaleSheetLayoutView="26" workbookViewId="0">
      <selection activeCell="V15" sqref="V15"/>
    </sheetView>
  </sheetViews>
  <sheetFormatPr defaultRowHeight="14.4" x14ac:dyDescent="0.3"/>
  <cols>
    <col min="1" max="1" width="22.33203125" bestFit="1" customWidth="1"/>
    <col min="2" max="2" width="104.44140625" customWidth="1"/>
    <col min="3" max="3" width="40.5546875" bestFit="1" customWidth="1"/>
  </cols>
  <sheetData>
    <row r="1" spans="1:3" ht="126.75" customHeight="1" x14ac:dyDescent="0.3">
      <c r="A1" s="161" t="s">
        <v>249</v>
      </c>
      <c r="B1" s="161"/>
      <c r="C1" s="161"/>
    </row>
    <row r="2" spans="1:3" ht="61.2" x14ac:dyDescent="0.3">
      <c r="A2" s="67"/>
      <c r="B2" s="67"/>
      <c r="C2" s="67"/>
    </row>
    <row r="3" spans="1:3" ht="61.2" x14ac:dyDescent="0.3">
      <c r="A3" s="67"/>
      <c r="B3" s="67"/>
      <c r="C3" s="67"/>
    </row>
    <row r="4" spans="1:3" ht="61.2" x14ac:dyDescent="0.3">
      <c r="B4" s="67"/>
    </row>
    <row r="5" spans="1:3" ht="61.2" x14ac:dyDescent="0.3">
      <c r="B5" s="67"/>
    </row>
    <row r="6" spans="1:3" ht="15" thickBot="1" x14ac:dyDescent="0.35"/>
    <row r="7" spans="1:3" ht="61.8" thickBot="1" x14ac:dyDescent="1.1499999999999999">
      <c r="A7" s="78" t="s">
        <v>12</v>
      </c>
      <c r="B7" s="86" t="s">
        <v>30</v>
      </c>
      <c r="C7" s="82" t="s">
        <v>14</v>
      </c>
    </row>
    <row r="8" spans="1:3" ht="61.2" x14ac:dyDescent="1.1000000000000001">
      <c r="A8" s="15">
        <v>1</v>
      </c>
      <c r="B8" s="101" t="s">
        <v>71</v>
      </c>
      <c r="C8" s="88">
        <f>'[3]Project Others'!E13</f>
        <v>15580</v>
      </c>
    </row>
    <row r="9" spans="1:3" ht="61.2" x14ac:dyDescent="1.1000000000000001">
      <c r="A9" s="15">
        <v>2</v>
      </c>
      <c r="B9" s="101" t="s">
        <v>72</v>
      </c>
      <c r="C9" s="75">
        <f>'[3]Project Purpose Food'!E8</f>
        <v>2500</v>
      </c>
    </row>
    <row r="10" spans="1:3" ht="61.2" x14ac:dyDescent="1.1000000000000001">
      <c r="A10" s="15">
        <v>3</v>
      </c>
      <c r="B10" s="101" t="s">
        <v>73</v>
      </c>
      <c r="C10" s="75">
        <f>'[3]Project Purpose Laptop'!E9</f>
        <v>6200</v>
      </c>
    </row>
    <row r="11" spans="1:3" ht="61.2" x14ac:dyDescent="1.1000000000000001">
      <c r="A11" s="15">
        <v>4</v>
      </c>
      <c r="B11" s="101" t="s">
        <v>74</v>
      </c>
      <c r="C11" s="75">
        <f>'[3]Project Conveyance'!G16</f>
        <v>5679</v>
      </c>
    </row>
    <row r="12" spans="1:3" ht="61.2" x14ac:dyDescent="1.1000000000000001">
      <c r="A12" s="15">
        <v>5</v>
      </c>
      <c r="B12" s="101" t="s">
        <v>75</v>
      </c>
      <c r="C12" s="75">
        <f>'[3]Project Guest'!D11</f>
        <v>2165</v>
      </c>
    </row>
    <row r="13" spans="1:3" ht="61.2" x14ac:dyDescent="1.1000000000000001">
      <c r="A13" s="15">
        <v>6</v>
      </c>
      <c r="B13" s="101" t="s">
        <v>76</v>
      </c>
      <c r="C13" s="35">
        <f>'[3]Project House Hold'!D12</f>
        <v>0</v>
      </c>
    </row>
    <row r="14" spans="1:3" ht="61.2" x14ac:dyDescent="1.1000000000000001">
      <c r="A14" s="15">
        <v>7</v>
      </c>
      <c r="B14" s="101" t="s">
        <v>77</v>
      </c>
      <c r="C14" s="35">
        <f>'[3]Project Electric'!D11</f>
        <v>670</v>
      </c>
    </row>
    <row r="15" spans="1:3" ht="61.2" x14ac:dyDescent="1.1000000000000001">
      <c r="A15" s="15">
        <v>8</v>
      </c>
      <c r="B15" s="101" t="s">
        <v>78</v>
      </c>
      <c r="C15" s="35">
        <f>'[3]Project Grocery'!C15</f>
        <v>2752</v>
      </c>
    </row>
    <row r="16" spans="1:3" ht="61.8" thickBot="1" x14ac:dyDescent="1.1499999999999999">
      <c r="A16" s="15">
        <v>9</v>
      </c>
      <c r="B16" s="102" t="s">
        <v>79</v>
      </c>
      <c r="C16" s="93">
        <f>'[3]Project Stationary'!C12</f>
        <v>6280</v>
      </c>
    </row>
    <row r="17" spans="3:3" ht="92.4" thickBot="1" x14ac:dyDescent="1.7">
      <c r="C17" s="41">
        <f>SUM(C8:C16)</f>
        <v>41826</v>
      </c>
    </row>
  </sheetData>
  <mergeCells count="1">
    <mergeCell ref="A1:C1"/>
  </mergeCells>
  <pageMargins left="0.7" right="0.7" top="0.75" bottom="0.75" header="0.3" footer="0.3"/>
  <pageSetup scale="54"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8"/>
  <sheetViews>
    <sheetView view="pageBreakPreview" topLeftCell="A4" zoomScale="20" zoomScaleNormal="100" zoomScaleSheetLayoutView="20" workbookViewId="0">
      <selection activeCell="X17" sqref="X17"/>
    </sheetView>
  </sheetViews>
  <sheetFormatPr defaultRowHeight="14.4" x14ac:dyDescent="0.3"/>
  <cols>
    <col min="1" max="1" width="21.6640625" bestFit="1" customWidth="1"/>
    <col min="2" max="2" width="111.88671875" bestFit="1" customWidth="1"/>
    <col min="3" max="3" width="40.5546875" bestFit="1" customWidth="1"/>
  </cols>
  <sheetData>
    <row r="1" spans="1:3" ht="116.25" customHeight="1" x14ac:dyDescent="0.3">
      <c r="A1" s="161" t="s">
        <v>249</v>
      </c>
      <c r="B1" s="161"/>
      <c r="C1" s="161"/>
    </row>
    <row r="2" spans="1:3" ht="61.2" x14ac:dyDescent="0.3">
      <c r="A2" s="67"/>
      <c r="B2" s="67"/>
      <c r="C2" s="67"/>
    </row>
    <row r="3" spans="1:3" ht="61.2" x14ac:dyDescent="0.3">
      <c r="A3" s="67"/>
      <c r="B3" s="67"/>
      <c r="C3" s="67"/>
    </row>
    <row r="4" spans="1:3" ht="61.2" x14ac:dyDescent="0.3">
      <c r="B4" s="67"/>
    </row>
    <row r="5" spans="1:3" ht="61.2" x14ac:dyDescent="0.3">
      <c r="B5" s="67"/>
    </row>
    <row r="6" spans="1:3" ht="15" thickBot="1" x14ac:dyDescent="0.35"/>
    <row r="7" spans="1:3" ht="61.8" thickBot="1" x14ac:dyDescent="1.1499999999999999">
      <c r="A7" s="78" t="s">
        <v>12</v>
      </c>
      <c r="B7" s="86" t="s">
        <v>30</v>
      </c>
      <c r="C7" s="82" t="s">
        <v>14</v>
      </c>
    </row>
    <row r="8" spans="1:3" ht="61.2" x14ac:dyDescent="1.1000000000000001">
      <c r="A8" s="15">
        <v>1</v>
      </c>
      <c r="B8" s="87" t="s">
        <v>71</v>
      </c>
      <c r="C8" s="120">
        <f>'[3]Project Others'!E13</f>
        <v>15580</v>
      </c>
    </row>
    <row r="9" spans="1:3" ht="61.2" x14ac:dyDescent="1.1000000000000001">
      <c r="A9" s="15">
        <v>2</v>
      </c>
      <c r="B9" s="87" t="s">
        <v>105</v>
      </c>
      <c r="C9" s="35">
        <f>'[3]Project Purpose Food'!E8</f>
        <v>2500</v>
      </c>
    </row>
    <row r="10" spans="1:3" ht="61.2" x14ac:dyDescent="1.1000000000000001">
      <c r="A10" s="15">
        <v>3</v>
      </c>
      <c r="B10" s="87" t="s">
        <v>106</v>
      </c>
      <c r="C10" s="35">
        <f>'[3]Project Purpose Laptop'!E9</f>
        <v>6200</v>
      </c>
    </row>
    <row r="11" spans="1:3" ht="61.2" x14ac:dyDescent="1.1000000000000001">
      <c r="A11" s="15">
        <v>4</v>
      </c>
      <c r="B11" s="87" t="s">
        <v>107</v>
      </c>
      <c r="C11" s="35">
        <f>'[3]Project Conveyance'!G16</f>
        <v>5679</v>
      </c>
    </row>
    <row r="12" spans="1:3" ht="61.2" x14ac:dyDescent="1.1000000000000001">
      <c r="A12" s="15">
        <v>5</v>
      </c>
      <c r="B12" s="87" t="s">
        <v>75</v>
      </c>
      <c r="C12" s="35">
        <f>'[3]Project Guest'!D11</f>
        <v>2165</v>
      </c>
    </row>
    <row r="13" spans="1:3" ht="61.2" x14ac:dyDescent="1.1000000000000001">
      <c r="A13" s="15">
        <v>6</v>
      </c>
      <c r="B13" s="87" t="s">
        <v>76</v>
      </c>
      <c r="C13" s="35">
        <f>'[3]Project House Hold'!D12</f>
        <v>0</v>
      </c>
    </row>
    <row r="14" spans="1:3" ht="61.2" x14ac:dyDescent="1.1000000000000001">
      <c r="A14" s="15">
        <v>7</v>
      </c>
      <c r="B14" s="87" t="s">
        <v>108</v>
      </c>
      <c r="C14" s="35">
        <f>'[3]Project Electric'!D11</f>
        <v>670</v>
      </c>
    </row>
    <row r="15" spans="1:3" ht="61.2" x14ac:dyDescent="1.1000000000000001">
      <c r="A15" s="15">
        <v>8</v>
      </c>
      <c r="B15" s="87" t="s">
        <v>109</v>
      </c>
      <c r="C15" s="141">
        <f>'[3]Project Grocery'!C15</f>
        <v>2752</v>
      </c>
    </row>
    <row r="16" spans="1:3" ht="61.2" x14ac:dyDescent="1.1000000000000001">
      <c r="A16" s="15">
        <v>9</v>
      </c>
      <c r="B16" s="87" t="s">
        <v>110</v>
      </c>
      <c r="C16" s="35">
        <f>'[3]Project Stationary'!C12</f>
        <v>6280</v>
      </c>
    </row>
    <row r="17" spans="1:3" ht="61.8" thickBot="1" x14ac:dyDescent="1.1499999999999999">
      <c r="A17" s="15">
        <v>10</v>
      </c>
      <c r="B17" s="12" t="s">
        <v>250</v>
      </c>
      <c r="C17" s="99">
        <f>'[3]Convayance IMS'!G71</f>
        <v>10209</v>
      </c>
    </row>
    <row r="18" spans="1:3" ht="92.4" thickBot="1" x14ac:dyDescent="1.7">
      <c r="C18" s="41">
        <f>SUM(C8:C17)</f>
        <v>52035</v>
      </c>
    </row>
  </sheetData>
  <mergeCells count="1">
    <mergeCell ref="A1:C1"/>
  </mergeCells>
  <pageMargins left="0.7" right="0.7" top="1.25" bottom="0.75" header="0.3" footer="0.3"/>
  <pageSetup scale="4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4"/>
  <sheetViews>
    <sheetView view="pageBreakPreview" zoomScale="50" zoomScaleNormal="100" zoomScaleSheetLayoutView="50" workbookViewId="0">
      <selection activeCell="A7" sqref="A7"/>
    </sheetView>
  </sheetViews>
  <sheetFormatPr defaultColWidth="73.88671875" defaultRowHeight="14.4" x14ac:dyDescent="0.3"/>
  <cols>
    <col min="1" max="1" width="37.5546875" bestFit="1" customWidth="1"/>
    <col min="2" max="2" width="43" bestFit="1" customWidth="1"/>
    <col min="3" max="3" width="62.44140625" customWidth="1"/>
    <col min="4" max="4" width="32.88671875" bestFit="1" customWidth="1"/>
  </cols>
  <sheetData>
    <row r="1" spans="1:4" ht="61.2" x14ac:dyDescent="1.1000000000000001">
      <c r="A1" s="178" t="s">
        <v>81</v>
      </c>
      <c r="B1" s="178"/>
      <c r="C1" s="178"/>
      <c r="D1" s="178"/>
    </row>
    <row r="2" spans="1:4" ht="61.2" x14ac:dyDescent="1.1000000000000001">
      <c r="A2" s="21"/>
      <c r="B2" s="21"/>
      <c r="C2" s="21"/>
      <c r="D2" s="21"/>
    </row>
    <row r="3" spans="1:4" ht="61.2" x14ac:dyDescent="1.1000000000000001">
      <c r="A3" s="117"/>
      <c r="B3" s="117"/>
      <c r="C3" s="117"/>
      <c r="D3" s="117"/>
    </row>
    <row r="4" spans="1:4" ht="61.2" x14ac:dyDescent="1.1000000000000001">
      <c r="A4" s="21"/>
      <c r="B4" s="21"/>
      <c r="C4" s="21"/>
    </row>
    <row r="5" spans="1:4" ht="61.8" thickBot="1" x14ac:dyDescent="1.1499999999999999">
      <c r="C5" s="21"/>
    </row>
    <row r="6" spans="1:4" ht="46.8" thickBot="1" x14ac:dyDescent="0.9">
      <c r="A6" s="3" t="s">
        <v>10</v>
      </c>
      <c r="B6" s="3" t="s">
        <v>42</v>
      </c>
      <c r="C6" s="3" t="s">
        <v>1</v>
      </c>
      <c r="D6" s="78" t="s">
        <v>5</v>
      </c>
    </row>
    <row r="7" spans="1:4" ht="92.4" x14ac:dyDescent="0.3">
      <c r="A7" s="43"/>
      <c r="B7" s="77" t="s">
        <v>64</v>
      </c>
      <c r="C7" s="65" t="s">
        <v>82</v>
      </c>
      <c r="D7" s="48"/>
    </row>
    <row r="8" spans="1:4" ht="61.2" x14ac:dyDescent="0.3">
      <c r="A8" s="43"/>
      <c r="B8" s="77"/>
      <c r="C8" s="65"/>
      <c r="D8" s="48">
        <v>0</v>
      </c>
    </row>
    <row r="9" spans="1:4" ht="92.4" thickBot="1" x14ac:dyDescent="1.7">
      <c r="D9" s="30">
        <f>SUM(D7:D8)</f>
        <v>0</v>
      </c>
    </row>
    <row r="14" spans="1:4" x14ac:dyDescent="0.3">
      <c r="C14" s="100"/>
    </row>
  </sheetData>
  <mergeCells count="1">
    <mergeCell ref="A1:D1"/>
  </mergeCells>
  <pageMargins left="0.7" right="0.7" top="2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20</vt:i4>
      </vt:variant>
    </vt:vector>
  </HeadingPairs>
  <TitlesOfParts>
    <vt:vector size="42" baseType="lpstr">
      <vt:lpstr>IMS Top final</vt:lpstr>
      <vt:lpstr>IMS Total Expenses</vt:lpstr>
      <vt:lpstr>Final Total</vt:lpstr>
      <vt:lpstr>IMS Expenses</vt:lpstr>
      <vt:lpstr>Food for Guest </vt:lpstr>
      <vt:lpstr>Office staff food</vt:lpstr>
      <vt:lpstr>Grocery</vt:lpstr>
      <vt:lpstr>Stationary</vt:lpstr>
      <vt:lpstr>Office Others</vt:lpstr>
      <vt:lpstr>Office Laptop </vt:lpstr>
      <vt:lpstr>Conveyance</vt:lpstr>
      <vt:lpstr>Electric purpose</vt:lpstr>
      <vt:lpstr>Household</vt:lpstr>
      <vt:lpstr>Director's Monthly Total Expens</vt:lpstr>
      <vt:lpstr>CLAN</vt:lpstr>
      <vt:lpstr>BATB CE </vt:lpstr>
      <vt:lpstr>BATB PFP</vt:lpstr>
      <vt:lpstr>BHN</vt:lpstr>
      <vt:lpstr>Nagad</vt:lpstr>
      <vt:lpstr>BPO 1</vt:lpstr>
      <vt:lpstr>BPO Final</vt:lpstr>
      <vt:lpstr>Forecast Films</vt:lpstr>
      <vt:lpstr>'BATB CE '!Print_Area</vt:lpstr>
      <vt:lpstr>'BATB PFP'!Print_Area</vt:lpstr>
      <vt:lpstr>BHN!Print_Area</vt:lpstr>
      <vt:lpstr>'BPO 1'!Print_Area</vt:lpstr>
      <vt:lpstr>'BPO Final'!Print_Area</vt:lpstr>
      <vt:lpstr>CLAN!Print_Area</vt:lpstr>
      <vt:lpstr>Conveyance!Print_Area</vt:lpstr>
      <vt:lpstr>'Director''s Monthly Total Expens'!Print_Area</vt:lpstr>
      <vt:lpstr>'Electric purpose'!Print_Area</vt:lpstr>
      <vt:lpstr>'Final Total'!Print_Area</vt:lpstr>
      <vt:lpstr>'Food for Guest '!Print_Area</vt:lpstr>
      <vt:lpstr>Grocery!Print_Area</vt:lpstr>
      <vt:lpstr>Household!Print_Area</vt:lpstr>
      <vt:lpstr>'IMS Expenses'!Print_Area</vt:lpstr>
      <vt:lpstr>'IMS Top final'!Print_Area</vt:lpstr>
      <vt:lpstr>'IMS Total Expenses'!Print_Area</vt:lpstr>
      <vt:lpstr>'Office Laptop '!Print_Area</vt:lpstr>
      <vt:lpstr>'Office Others'!Print_Area</vt:lpstr>
      <vt:lpstr>'Office staff food'!Print_Area</vt:lpstr>
      <vt:lpstr>Stationary!Print_Area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Moushumi Tamanna</dc:creator>
  <cp:lastModifiedBy>IMS</cp:lastModifiedBy>
  <cp:lastPrinted>2026-05-03T09:15:31Z</cp:lastPrinted>
  <dcterms:created xsi:type="dcterms:W3CDTF">2017-11-12T09:24:41Z</dcterms:created>
  <dcterms:modified xsi:type="dcterms:W3CDTF">2026-05-04T06:21:38Z</dcterms:modified>
</cp:coreProperties>
</file>